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sald\Downloads\"/>
    </mc:Choice>
  </mc:AlternateContent>
  <xr:revisionPtr revIDLastSave="0" documentId="13_ncr:1_{C5AB78D4-3DF5-4E4E-88C2-948403EC82CB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Instrucciones" sheetId="1" r:id="rId1"/>
    <sheet name="1. Fuentes" sheetId="2" r:id="rId2"/>
    <sheet name="2. Diccionario" sheetId="3" r:id="rId3"/>
    <sheet name="3. Bitácora IA" sheetId="4" r:id="rId4"/>
    <sheet name="Resum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17" i="5" s="1"/>
  <c r="B14" i="5"/>
  <c r="B13" i="5"/>
  <c r="B12" i="5"/>
  <c r="B11" i="5"/>
  <c r="B10" i="5"/>
  <c r="B9" i="5"/>
  <c r="B8" i="5"/>
  <c r="B7" i="5"/>
  <c r="B6" i="5"/>
  <c r="B5" i="5"/>
  <c r="B4" i="5"/>
</calcChain>
</file>

<file path=xl/sharedStrings.xml><?xml version="1.0" encoding="utf-8"?>
<sst xmlns="http://schemas.openxmlformats.org/spreadsheetml/2006/main" count="735" uniqueCount="457">
  <si>
    <t>Taller de datos · Entrega 1 · El lago y su diccionario</t>
  </si>
  <si>
    <t>Tópicos de Sistemas de Información · Profesor Santiago Jiménez Londoño · topicos-si.vercel.app/Tallerdatos</t>
  </si>
  <si>
    <t>Datos del grupo</t>
  </si>
  <si>
    <t>Qué entregan en este archivo</t>
  </si>
  <si>
    <t>1. Fuentes · una fila por cada fuente que encontraron en el rastreo, entre o no al lago. Las descartadas también cuentan: explican las decisiones.</t>
  </si>
  <si>
    <t>2. Diccionario · una fila por cada campo (columna o clave del JSON) que quedó en el lago. Si un campo no está aquí, no existe.</t>
  </si>
  <si>
    <t>3. Bitácora IA · qué le encargaron a la IA durante la búsqueda, qué respondió y cómo lo comprobaron.</t>
  </si>
  <si>
    <t>Resumen · se llena solo con fórmulas. No lo editen.</t>
  </si>
  <si>
    <t>Cómo llenarlo</t>
  </si>
  <si>
    <t>• Escriban solo en las celdas amarillas. La fila gris de cada hoja es un ejemplo (Medellín): pueden borrarla o dejarla, el resumen no la cuenta.</t>
  </si>
  <si>
    <t>• El ID de fuente (F01, F02…) une las tres hojas: úsenlo igual en Fuentes, Diccionario y Bitácora IA.</t>
  </si>
  <si>
    <t>• Las columnas con lista desplegable solo aceptan esas opciones.</t>
  </si>
  <si>
    <t>• La licencia se copia tal como aparece en la fuente. Si la fuente no dice nada, escriban «no declara»: no la supongan.</t>
  </si>
  <si>
    <t>• «Fecha en que la probaron» es el día en que la descarga o la API respondió de verdad, no el día en que la IA la mencionó.</t>
  </si>
  <si>
    <t>• Una fuente que la IA nombró y que ustedes no pudieron abrir va igual en Fuentes, con estado «No responde» o «No existe».</t>
  </si>
  <si>
    <t>1. Catálogo de fuentes</t>
  </si>
  <si>
    <t>Una fila por fuente encontrada. Escriban en las celdas amarillas; la fila gris es un ejemplo.</t>
  </si>
  <si>
    <t>ID fuente</t>
  </si>
  <si>
    <t>Nombre del conjunto de datos</t>
  </si>
  <si>
    <t>Entidad que lo publica</t>
  </si>
  <si>
    <t>Tipo de publicador</t>
  </si>
  <si>
    <t>URL exacta (descarga o API)</t>
  </si>
  <si>
    <t>Formato</t>
  </si>
  <si>
    <t>Cómo se obtiene</t>
  </si>
  <si>
    <t>Licencia (tal como aparece)</t>
  </si>
  <si>
    <t>¿Trae datos de personas?</t>
  </si>
  <si>
    <t>Cobertura geográfica</t>
  </si>
  <si>
    <t>Periodo que cubre</t>
  </si>
  <si>
    <t>Frecuencia de actualización</t>
  </si>
  <si>
    <t>Fecha en que la probaron (AAAA-MM-DD)</t>
  </si>
  <si>
    <t>Estado</t>
  </si>
  <si>
    <t>Cómo la encontraron (IA o búsqueda)</t>
  </si>
  <si>
    <t>Observaciones</t>
  </si>
  <si>
    <t>F01</t>
  </si>
  <si>
    <t>Vistas mensuales del artículo «Medellín» en Wikipedia</t>
  </si>
  <si>
    <t>Wikimedia Foundation</t>
  </si>
  <si>
    <t>Plataforma colaborativa</t>
  </si>
  <si>
    <t>https://wikimedia.org/api/rest_v1/metrics/pageviews/per-article/es.wikipedia/all-access/user/Medellín/monthly/20250101/20260831</t>
  </si>
  <si>
    <t>JSON</t>
  </si>
  <si>
    <t>API sin llave</t>
  </si>
  <si>
    <t>CC0</t>
  </si>
  <si>
    <t>No</t>
  </si>
  <si>
    <t>Ciudad (artículo)</t>
  </si>
  <si>
    <t>2025-01 a 2026-08</t>
  </si>
  <si>
    <t>Mensual</t>
  </si>
  <si>
    <t>2026-09-14</t>
  </si>
  <si>
    <t>Integrada al lago</t>
  </si>
  <si>
    <t>Se la pedimos a la IA como «fuente de interés público sobre la ciudad»; la probamos con curl</t>
  </si>
  <si>
    <t>Cuenta personas, no bots (agente «user»).</t>
  </si>
  <si>
    <t>2. Diccionario de datos</t>
  </si>
  <si>
    <t>Una fila por campo que quedó en el lago. Si un campo del lago no aparece aquí, no existe.</t>
  </si>
  <si>
    <t>Archivo o tabla en el lago</t>
  </si>
  <si>
    <t>Nombre del campo en el lago</t>
  </si>
  <si>
    <t>Nombre original en la fuente</t>
  </si>
  <si>
    <t>Qué significa (en una frase)</t>
  </si>
  <si>
    <t>Tipo de dato</t>
  </si>
  <si>
    <t>Unidad de medida</t>
  </si>
  <si>
    <t>Ejemplo de valor</t>
  </si>
  <si>
    <t>¿Puede venir vacío?</t>
  </si>
  <si>
    <t>Valores permitidos o rango</t>
  </si>
  <si>
    <t>Clasificación</t>
  </si>
  <si>
    <t>Transformación que le hicieron</t>
  </si>
  <si>
    <t>Pregunta del sistema que ayuda a responder</t>
  </si>
  <si>
    <t>lago/escucha.json</t>
  </si>
  <si>
    <t>vistas_ultimo_mes</t>
  </si>
  <si>
    <t>views</t>
  </si>
  <si>
    <t>Vistas del artículo de la ciudad hechas por personas en el último mes completo</t>
  </si>
  <si>
    <t>Entero</t>
  </si>
  <si>
    <t>vistas de personas</t>
  </si>
  <si>
    <t>19552</t>
  </si>
  <si>
    <t>≥ 0</t>
  </si>
  <si>
    <t>Pública</t>
  </si>
  <si>
    <t>Se toma el último mes de la serie; la fecha AAAAMMDD se pasa a AAAA-MM</t>
  </si>
  <si>
    <t>¿Cuánto interés despierta la ciudad fuera de ella y cómo cambia en el año?</t>
  </si>
  <si>
    <t>3. Bitácora de la búsqueda con IA</t>
  </si>
  <si>
    <t>Qué le encargaron a la IA y qué pasó con lo que respondió. Incluyan los errores: valen tanto como los aciertos.</t>
  </si>
  <si>
    <t>#</t>
  </si>
  <si>
    <t>Herramienta de IA</t>
  </si>
  <si>
    <t>Qué le encargaron</t>
  </si>
  <si>
    <t>Qué respondió (resumen)</t>
  </si>
  <si>
    <t>Cómo lo comprobaron</t>
  </si>
  <si>
    <t>Resultado</t>
  </si>
  <si>
    <t>ID fuente que salió de ahí</t>
  </si>
  <si>
    <t>Qué aprendieron</t>
  </si>
  <si>
    <t>1</t>
  </si>
  <si>
    <t>Claude</t>
  </si>
  <si>
    <t>Encontrar una fuente abierta y sin llave que mida cuánto interés despierta Medellín fuera de la ciudad</t>
  </si>
  <si>
    <t>Propuso Google Trends y la API de vistas de Wikipedia</t>
  </si>
  <si>
    <t>Probamos las dos: Google Trends no tiene API abierta ni licencia de reutilización; la de Wikipedia respondió con curl y declara CC0</t>
  </si>
  <si>
    <t>Parcial</t>
  </si>
  <si>
    <t>Que la IA nombre una fuente no quiere decir que se pueda usar: la licencia y el acceso se comprueban uno mismo.</t>
  </si>
  <si>
    <t>Resumen del lago</t>
  </si>
  <si>
    <t>Se calcula solo desde las otras hojas; no cuenta las filas de ejemplo (fila 4).</t>
  </si>
  <si>
    <t>Fuentes registradas</t>
  </si>
  <si>
    <t xml:space="preserve">  · integradas al lago</t>
  </si>
  <si>
    <t xml:space="preserve">  · candidatas</t>
  </si>
  <si>
    <t xml:space="preserve">  · que no responden</t>
  </si>
  <si>
    <t xml:space="preserve">  · que no existen (inventadas por la IA)</t>
  </si>
  <si>
    <t xml:space="preserve">  · descartadas</t>
  </si>
  <si>
    <t>Fuentes con licencia «no declara» o vacía</t>
  </si>
  <si>
    <t>Fuentes con personas identificables o texto libre</t>
  </si>
  <si>
    <t>Campos en el diccionario</t>
  </si>
  <si>
    <t xml:space="preserve">  · clasificados como sensibles o dato personal</t>
  </si>
  <si>
    <t xml:space="preserve">  · sin pregunta del sistema asociada</t>
  </si>
  <si>
    <t>Encargos a la IA registrados</t>
  </si>
  <si>
    <t xml:space="preserve">  · con respuesta incorrecta o inventada</t>
  </si>
  <si>
    <t>Porcentaje de aciertos plenos de la IA</t>
  </si>
  <si>
    <t>Ciudad elegida: Orlando</t>
  </si>
  <si>
    <t>Integrantes: Juan Esteban Alzate, Nicolás Saldarriaga, Mateo Villada</t>
  </si>
  <si>
    <t xml:space="preserve">Enlace al repositorio o a la carpeta del lago: https://github.com/NSaldarriagaV/Cerebro-Orlando </t>
  </si>
  <si>
    <t>Portal de datos abiertos de Orlando</t>
  </si>
  <si>
    <t>Ciudad de Orlando</t>
  </si>
  <si>
    <t>Entidad pública</t>
  </si>
  <si>
    <t>https://data.cityoforlando.net</t>
  </si>
  <si>
    <t>Página web</t>
  </si>
  <si>
    <t>Ciudad</t>
  </si>
  <si>
    <t>Documento «Fuentes de información sobre Orlando, Florida» (29-sep-2026); pendiente de probar</t>
  </si>
  <si>
    <t>Categoría: Gobierno y datos abiertos. Contenido según el documento: Datasets descargables: incidentes policiales, permisos de construcción, code enforcement, llamadas 311.</t>
  </si>
  <si>
    <t>F02</t>
  </si>
  <si>
    <t>https://www.orlando.gov</t>
  </si>
  <si>
    <t>Categoría: Gobierno y datos abiertos. Contenido según el documento: Presupuesto, departamentos, proyectos y noticias municipales.</t>
  </si>
  <si>
    <t>F03</t>
  </si>
  <si>
    <t>Orange County Government</t>
  </si>
  <si>
    <t>https://www.orangecountyfl.net</t>
  </si>
  <si>
    <t>Condado</t>
  </si>
  <si>
    <t>Categoría: Gobierno y datos abiertos. Contenido según el documento: Servicios del condado, planeación, zonificación y reportes.</t>
  </si>
  <si>
    <t>F04</t>
  </si>
  <si>
    <t>Orange County Property Appraiser</t>
  </si>
  <si>
    <t>https://www.ocpafl.org</t>
  </si>
  <si>
    <t>Categoría: Gobierno y datos abiertos. Contenido según el documento: Valor catastral de cada propiedad, ventas históricas y mapas de parcelas.</t>
  </si>
  <si>
    <t>F05</t>
  </si>
  <si>
    <t>Orange County Comptroller</t>
  </si>
  <si>
    <t>https://www.occompt.com</t>
  </si>
  <si>
    <t>Categoría: Gobierno y datos abiertos. Contenido según el documento: Registros oficiales (escrituras, hipotecas), finanzas y auditorías del condado.</t>
  </si>
  <si>
    <t>F06</t>
  </si>
  <si>
    <t>Supervisor of Elections Orange County</t>
  </si>
  <si>
    <t>Orange County Supervisor of Elections</t>
  </si>
  <si>
    <t>https://www.ocfelections.gov</t>
  </si>
  <si>
    <t>Categoría: Gobierno y datos abiertos. Contenido según el documento: Resultados electorales y votantes registrados por distrito.</t>
  </si>
  <si>
    <t>F07</t>
  </si>
  <si>
    <t>Sunbiz, registro de empresas de Florida</t>
  </si>
  <si>
    <t>Florida Department of State, Division of Corporations</t>
  </si>
  <si>
    <t>https://dos.fl.gov/sunbiz/</t>
  </si>
  <si>
    <t>Estado de Florida</t>
  </si>
  <si>
    <t>Categoría: Gobierno y datos abiertos. Contenido según el documento: Empresas registradas en Orlando, dueños y estado legal.</t>
  </si>
  <si>
    <t>F08</t>
  </si>
  <si>
    <t>MyFloridaLicense (DBPR)</t>
  </si>
  <si>
    <t>Florida Department of Business and Professional Regulation</t>
  </si>
  <si>
    <t>https://www.myfloridalicense.com</t>
  </si>
  <si>
    <t>Categoría: Gobierno y datos abiertos. Contenido según el documento: Licencias de restaurantes, contratistas y alquileres vacacionales.</t>
  </si>
  <si>
    <t>F09</t>
  </si>
  <si>
    <t>MetroPlan Orlando</t>
  </si>
  <si>
    <t>https://metroplanorlando.gov</t>
  </si>
  <si>
    <t>Región metropolitana</t>
  </si>
  <si>
    <t>Categoría: Gobierno y datos abiertos. Contenido según el documento: Planeación de transporte regional, conteos y estudios de movilidad.</t>
  </si>
  <si>
    <t>F10</t>
  </si>
  <si>
    <t>East Central Florida Regional Planning Council</t>
  </si>
  <si>
    <t>https://www.ecfrpc.org</t>
  </si>
  <si>
    <t>Región (Florida Central Este)</t>
  </si>
  <si>
    <t>Categoría: Gobierno y datos abiertos. Contenido según el documento: Estudios regionales de desarrollo, vivienda y resiliencia.</t>
  </si>
  <si>
    <t>F11</t>
  </si>
  <si>
    <t>Census QuickFacts</t>
  </si>
  <si>
    <t>U.S. Census Bureau</t>
  </si>
  <si>
    <t>https://www.census.gov/quickfacts/orlandocityflorida</t>
  </si>
  <si>
    <t>Categoría: Demografía, economía y empleo. Contenido según el documento: Población, ingresos, edad, vivienda y educación resumidos.</t>
  </si>
  <si>
    <t>F12</t>
  </si>
  <si>
    <t>data.census.gov</t>
  </si>
  <si>
    <t>https://data.census.gov</t>
  </si>
  <si>
    <t>Nacional (hasta tract / block group)</t>
  </si>
  <si>
    <t>Categoría: Demografía, economía y empleo. Contenido según el documento: Tablas detalladas del American Community Survey por tract o block group.</t>
  </si>
  <si>
    <t>F13</t>
  </si>
  <si>
    <t>BLS, área metropolitana de Orlando</t>
  </si>
  <si>
    <t>U.S. Bureau of Labor Statistics</t>
  </si>
  <si>
    <t>https://www.bls.gov/eag/eag.fl_orlando_msa.htm</t>
  </si>
  <si>
    <t>Área metropolitana</t>
  </si>
  <si>
    <t>Categoría: Demografía, economía y empleo. Contenido según el documento: Desempleo, empleo por sector y salarios.</t>
  </si>
  <si>
    <t>F14</t>
  </si>
  <si>
    <t>FRED (St. Louis Fed)</t>
  </si>
  <si>
    <t>Federal Reserve Bank of St. Louis</t>
  </si>
  <si>
    <t>https://fred.stlouisfed.org</t>
  </si>
  <si>
    <t>Nacional (series por área metropolitana)</t>
  </si>
  <si>
    <t>Categoría: Demografía, economía y empleo. Contenido según el documento: Series de tiempo (buscar "Orlando"): PIB metropolitano, precios de vivienda, empleo.</t>
  </si>
  <si>
    <t>F15</t>
  </si>
  <si>
    <t>FloridaCommerce</t>
  </si>
  <si>
    <t>https://floridajobs.org</t>
  </si>
  <si>
    <t>Estado y condado</t>
  </si>
  <si>
    <t>Categoría: Demografía, economía y empleo. Contenido según el documento: Estadísticas laborales estatales y por condado.</t>
  </si>
  <si>
    <t>F16</t>
  </si>
  <si>
    <t>Orlando Economic Partnership</t>
  </si>
  <si>
    <t>Academia u ONG</t>
  </si>
  <si>
    <t>https://orlando.org</t>
  </si>
  <si>
    <t>Categoría: Demografía, economía y empleo. Contenido según el documento: Perfil económico, industrias clave y datos para inversionistas.</t>
  </si>
  <si>
    <t>F17</t>
  </si>
  <si>
    <t>HUD User, rentas justas de mercado</t>
  </si>
  <si>
    <t>U.S. Department of Housing and Urban Development</t>
  </si>
  <si>
    <t>https://www.huduser.gov/portal/datasets/fmr.html</t>
  </si>
  <si>
    <t>Nacional (por área metropolitana)</t>
  </si>
  <si>
    <t>Categoría: Demografía, economía y empleo. Contenido según el documento: Renta de referencia según número de habitaciones.</t>
  </si>
  <si>
    <t>F18</t>
  </si>
  <si>
    <t>Numbeo</t>
  </si>
  <si>
    <t>https://www.numbeo.com/cost-of-living/in/Orlando</t>
  </si>
  <si>
    <t>Categoría: Demografía, economía y empleo. Contenido según el documento: Costo de vida, precios de comida y transporte, índice de crimen percibido.</t>
  </si>
  <si>
    <t>F19</t>
  </si>
  <si>
    <t>Indeed</t>
  </si>
  <si>
    <t>Empresa privada</t>
  </si>
  <si>
    <t>https://www.indeed.com/jobs?l=Orlando%2C+FL</t>
  </si>
  <si>
    <t>Ciudad (filtro Orlando, FL)</t>
  </si>
  <si>
    <t>Categoría: Demografía, economía y empleo. Contenido según el documento: Vacantes activas y salarios por cargo.</t>
  </si>
  <si>
    <t>F20</t>
  </si>
  <si>
    <t>Glassdoor</t>
  </si>
  <si>
    <t>https://www.glassdoor.com</t>
  </si>
  <si>
    <t>Global (filtrar por Orlando)</t>
  </si>
  <si>
    <t>Categoría: Demografía, economía y empleo. Contenido según el documento: Salarios reportados y reseñas de empleadores locales (filtrar por Orlando).</t>
  </si>
  <si>
    <t>F21</t>
  </si>
  <si>
    <t>LYNX (buses)</t>
  </si>
  <si>
    <t>Central Florida Regional Transportation Authority (LYNX)</t>
  </si>
  <si>
    <t>https://www.golynx.com</t>
  </si>
  <si>
    <t>Categoría: Movilidad y transporte. Contenido según el documento: Rutas, horarios, datos GTFS y número de pasajeros.</t>
  </si>
  <si>
    <t>F22</t>
  </si>
  <si>
    <t>SunRail (tren)</t>
  </si>
  <si>
    <t>SunRail</t>
  </si>
  <si>
    <t>https://sunrail.com</t>
  </si>
  <si>
    <t>Categoría: Movilidad y transporte. Contenido según el documento: Estaciones, horarios y datos de pasajeros.</t>
  </si>
  <si>
    <t>F23</t>
  </si>
  <si>
    <t>Aeropuerto Internacional de Orlando (MCO)</t>
  </si>
  <si>
    <t>Greater Orlando Aviation Authority</t>
  </si>
  <si>
    <t>https://www.orlandoairports.net</t>
  </si>
  <si>
    <t>Aeropuerto (MCO)</t>
  </si>
  <si>
    <t>Categoría: Movilidad y transporte. Contenido según el documento: Estadísticas mensuales de pasajeros y aerolíneas.</t>
  </si>
  <si>
    <t>F24</t>
  </si>
  <si>
    <t>FlightAware MCO</t>
  </si>
  <si>
    <t>FlightAware</t>
  </si>
  <si>
    <t>https://www.flightaware.com/live/airport/KMCO</t>
  </si>
  <si>
    <t>Categoría: Movilidad y transporte. Contenido según el documento: Vuelos en tiempo real, retrasos e histórico.</t>
  </si>
  <si>
    <t>F25</t>
  </si>
  <si>
    <t>Florida Traffic Online (FDOT)</t>
  </si>
  <si>
    <t>Florida Department of Transportation</t>
  </si>
  <si>
    <t>https://tdaappsprod.dot.state.fl.us/fto/</t>
  </si>
  <si>
    <t>Estado de Florida (por vía)</t>
  </si>
  <si>
    <t>Categoría: Movilidad y transporte. Contenido según el documento: Conteos de tráfico (AADT) por vía.</t>
  </si>
  <si>
    <t>F26</t>
  </si>
  <si>
    <t>FL511</t>
  </si>
  <si>
    <t>https://fl511.com</t>
  </si>
  <si>
    <t>Categoría: Movilidad y transporte. Contenido según el documento: Tráfico en vivo, accidentes, cierres y cámaras.</t>
  </si>
  <si>
    <t>F27</t>
  </si>
  <si>
    <t>Central Florida Expressway</t>
  </si>
  <si>
    <t>Central Florida Expressway Authority</t>
  </si>
  <si>
    <t>https://www.cfxway.com</t>
  </si>
  <si>
    <t>Categoría: Movilidad y transporte. Contenido según el documento: Autopistas de peaje, tráfico y proyectos viales.</t>
  </si>
  <si>
    <t>F28</t>
  </si>
  <si>
    <t>Waze Live Map</t>
  </si>
  <si>
    <t>Waze (Google)</t>
  </si>
  <si>
    <t>https://www.waze.com/live-map</t>
  </si>
  <si>
    <t>Global (zona de Orlando)</t>
  </si>
  <si>
    <t>Categoría: Movilidad y transporte. Contenido según el documento: Congestión e incidentes en tiempo real.</t>
  </si>
  <si>
    <t>F29</t>
  </si>
  <si>
    <t>GasBuddy</t>
  </si>
  <si>
    <t>https://www.gasbuddy.com/gasprices/florida/orlando</t>
  </si>
  <si>
    <t>Categoría: Movilidad y transporte. Contenido según el documento: Precios de gasolina por estación.</t>
  </si>
  <si>
    <t>F30</t>
  </si>
  <si>
    <t>Walk Score</t>
  </si>
  <si>
    <t>Walk Score (Redfin)</t>
  </si>
  <si>
    <t>https://www.walkscore.com/FL/Orlando</t>
  </si>
  <si>
    <t>Ciudad (por barrio)</t>
  </si>
  <si>
    <t>Categoría: Movilidad y transporte. Contenido según el documento: Caminabilidad, transporte público y bicicleta por barrio.</t>
  </si>
  <si>
    <t>F31</t>
  </si>
  <si>
    <t>Airbnb</t>
  </si>
  <si>
    <t>https://www.airbnb.com/s/Orlando--FL</t>
  </si>
  <si>
    <t>Categoría: Aplicaciones y plataformas privadas. Contenido según el documento: Oferta de alquiler vacacional, precios por noche, ubicación y reseñas.</t>
  </si>
  <si>
    <t>F32</t>
  </si>
  <si>
    <t>AirDNA</t>
  </si>
  <si>
    <t>https://www.airdna.co</t>
  </si>
  <si>
    <t>Global (buscar Orlando)</t>
  </si>
  <si>
    <t>Categoría: Aplicaciones y plataformas privadas. Contenido según el documento: Ocupación, tarifa diaria promedio (ADR) y RevPAR del mercado Airbnb/Vrbo (buscar Orlando).</t>
  </si>
  <si>
    <t>F33</t>
  </si>
  <si>
    <t>Vrbo</t>
  </si>
  <si>
    <t>Vrbo (Expedia Group)</t>
  </si>
  <si>
    <t>https://www.vrbo.com</t>
  </si>
  <si>
    <t>Zona de parques / Orlando</t>
  </si>
  <si>
    <t>Categoría: Aplicaciones y plataformas privadas. Contenido según el documento: Casas vacacionales, sobre todo en la zona de parques.</t>
  </si>
  <si>
    <t>F34</t>
  </si>
  <si>
    <t>Strava Global Heatmap</t>
  </si>
  <si>
    <t>Strava</t>
  </si>
  <si>
    <t>https://www.strava.com/maps</t>
  </si>
  <si>
    <t>Global</t>
  </si>
  <si>
    <t>Categoría: Aplicaciones y plataformas privadas. Contenido según el documento: Rutas más usadas para correr y montar bicicleta.</t>
  </si>
  <si>
    <t>F35</t>
  </si>
  <si>
    <t>Strava Segments</t>
  </si>
  <si>
    <t>https://www.strava.com/segments/explore</t>
  </si>
  <si>
    <t>Categoría: Aplicaciones y plataformas privadas. Contenido según el documento: Segmentos populares y tiempos de deportistas.</t>
  </si>
  <si>
    <t>F36</t>
  </si>
  <si>
    <t>AllTrails</t>
  </si>
  <si>
    <t>https://www.alltrails.com/us/florida/orlando</t>
  </si>
  <si>
    <t>Categoría: Aplicaciones y plataformas privadas. Contenido según el documento: Senderos, dificultad y reseñas.</t>
  </si>
  <si>
    <t>F37</t>
  </si>
  <si>
    <t>Yelp</t>
  </si>
  <si>
    <t>https://www.yelp.com/search?find_loc=Orlando%2C+FL</t>
  </si>
  <si>
    <t>Categoría: Aplicaciones y plataformas privadas. Contenido según el documento: Restaurantes y negocios con calificaciones, precios y reseñas.</t>
  </si>
  <si>
    <t>F38</t>
  </si>
  <si>
    <t>Tripadvisor</t>
  </si>
  <si>
    <t>https://www.tripadvisor.com/Tourism-g34515-Orlando_Florida-Vacations.html</t>
  </si>
  <si>
    <t>Categoría: Aplicaciones y plataformas privadas. Contenido según el documento: Atracciones, hoteles y rankings turísticos.</t>
  </si>
  <si>
    <t>F39</t>
  </si>
  <si>
    <t>Google Maps</t>
  </si>
  <si>
    <t>Google</t>
  </si>
  <si>
    <t>https://www.google.com/maps/place/Orlando,+FL</t>
  </si>
  <si>
    <t>Categoría: Aplicaciones y plataformas privadas. Contenido según el documento: Negocios, horarios de mayor afluencia y reseñas.</t>
  </si>
  <si>
    <t>F40</t>
  </si>
  <si>
    <t>Zillow</t>
  </si>
  <si>
    <t>https://www.zillow.com/orlando-fl/</t>
  </si>
  <si>
    <t>Categoría: Aplicaciones y plataformas privadas. Contenido según el documento: Precios de venta y arriendo, Zestimate e inventario.</t>
  </si>
  <si>
    <t>F41</t>
  </si>
  <si>
    <t>Zillow Research</t>
  </si>
  <si>
    <t>https://www.zillow.com/research/data/</t>
  </si>
  <si>
    <t>Categoría: Aplicaciones y plataformas privadas. Contenido según el documento: Índices descargables de vivienda (ZHVI, ZORI) por área metropolitana.</t>
  </si>
  <si>
    <t>F42</t>
  </si>
  <si>
    <t>Redfin Data Center</t>
  </si>
  <si>
    <t>Redfin</t>
  </si>
  <si>
    <t>https://www.redfin.com/news/data-center/</t>
  </si>
  <si>
    <t>Categoría: Aplicaciones y plataformas privadas. Contenido según el documento: Días en el mercado, precio mediano e inventario.</t>
  </si>
  <si>
    <t>F43</t>
  </si>
  <si>
    <t>Realtor.com</t>
  </si>
  <si>
    <t>https://www.realtor.com/realestateandhomes-search/Orlando_FL</t>
  </si>
  <si>
    <t>Categoría: Aplicaciones y plataformas privadas. Contenido según el documento: Listados activos y tendencias de precio.</t>
  </si>
  <si>
    <t>F44</t>
  </si>
  <si>
    <t>Apartments.com</t>
  </si>
  <si>
    <t>Apartments.com (CoStar Group)</t>
  </si>
  <si>
    <t>https://www.apartments.com/orlando-fl/</t>
  </si>
  <si>
    <t>Categoría: Aplicaciones y plataformas privadas. Contenido según el documento: Arriendos de apartamentos por barrio.</t>
  </si>
  <si>
    <t>F45</t>
  </si>
  <si>
    <t>Eventbrite</t>
  </si>
  <si>
    <t>https://www.eventbrite.com/d/fl--orlando/events/</t>
  </si>
  <si>
    <t>Categoría: Aplicaciones y plataformas privadas. Contenido según el documento: Eventos, conferencias y conciertos.</t>
  </si>
  <si>
    <t>F46</t>
  </si>
  <si>
    <t>Meetup</t>
  </si>
  <si>
    <t>https://www.meetup.com/find/?location=us--fl--Orlando</t>
  </si>
  <si>
    <t>Categoría: Aplicaciones y plataformas privadas. Contenido según el documento: Comunidades y grupos por tema (tecnología, deporte, etc.).</t>
  </si>
  <si>
    <t>F47</t>
  </si>
  <si>
    <t>Reddit r/orlando</t>
  </si>
  <si>
    <t>Reddit</t>
  </si>
  <si>
    <t>https://www.reddit.com/r/orlando/</t>
  </si>
  <si>
    <t>Ciudad (comunidad r/orlando)</t>
  </si>
  <si>
    <t>Categoría: Aplicaciones y plataformas privadas. Contenido según el documento: Opinión ciudadana, quejas y recomendaciones locales.</t>
  </si>
  <si>
    <t>F48</t>
  </si>
  <si>
    <t>Thrill Data</t>
  </si>
  <si>
    <t>No se sabe</t>
  </si>
  <si>
    <t>https://www.thrill-data.com</t>
  </si>
  <si>
    <t>Parques de Orlando (Disney y Universal)</t>
  </si>
  <si>
    <t>Categoría: Aplicaciones y plataformas privadas. Contenido según el documento: Tiempos de espera históricos en Disney y Universal.</t>
  </si>
  <si>
    <t>F49</t>
  </si>
  <si>
    <t>Touring Plans</t>
  </si>
  <si>
    <t>https://touringplans.com</t>
  </si>
  <si>
    <t>Parques de Orlando</t>
  </si>
  <si>
    <t>Categoría: Aplicaciones y plataformas privadas. Contenido según el documento: Calendarios de afluencia de parques y predicciones.</t>
  </si>
  <si>
    <t>F50</t>
  </si>
  <si>
    <t>Google Trends</t>
  </si>
  <si>
    <t>https://trends.google.com</t>
  </si>
  <si>
    <t>Global (filtrar área de Orlando)</t>
  </si>
  <si>
    <t>Categoría: Aplicaciones y plataformas privadas. Contenido según el documento: Qué se busca en el área de Orlando y cómo cambia en el tiempo.</t>
  </si>
  <si>
    <t>F51</t>
  </si>
  <si>
    <t>Visit Orlando</t>
  </si>
  <si>
    <t>https://www.visitorlando.com</t>
  </si>
  <si>
    <t>Ciudad / destino turístico</t>
  </si>
  <si>
    <t>Categoría: Turismo, eventos y deporte. Contenido según el documento: Turismo oficial, cifras de visitantes y atracciones.</t>
  </si>
  <si>
    <t>F52</t>
  </si>
  <si>
    <t>Walt Disney World</t>
  </si>
  <si>
    <t>The Walt Disney Company</t>
  </si>
  <si>
    <t>https://disneyworld.disney.go.com</t>
  </si>
  <si>
    <t>Categoría: Turismo, eventos y deporte. Contenido según el documento: Parques, horarios, precios y eventos.</t>
  </si>
  <si>
    <t>F53</t>
  </si>
  <si>
    <t>Universal Orlando</t>
  </si>
  <si>
    <t>Universal Orlando Resort</t>
  </si>
  <si>
    <t>https://www.universalorlando.com</t>
  </si>
  <si>
    <t>Categoría: Turismo, eventos y deporte. Contenido según el documento: Parques (incluye Epic Universe), precios y horarios.</t>
  </si>
  <si>
    <t>F54</t>
  </si>
  <si>
    <t>Orange County Convention Center</t>
  </si>
  <si>
    <t>https://www.occc.net</t>
  </si>
  <si>
    <t>Ciudad / condado</t>
  </si>
  <si>
    <t>Categoría: Turismo, eventos y deporte. Contenido según el documento: Calendario de convenciones y ferias.</t>
  </si>
  <si>
    <t>F55</t>
  </si>
  <si>
    <t>Orlando Magic (NBA)</t>
  </si>
  <si>
    <t>Orlando Magic</t>
  </si>
  <si>
    <t>https://www.nba.com/magic</t>
  </si>
  <si>
    <t>Ciudad (equipo)</t>
  </si>
  <si>
    <t>Categoría: Turismo, eventos y deporte. Contenido según el documento: Partidos, estadísticas y asistencia.</t>
  </si>
  <si>
    <t>F56</t>
  </si>
  <si>
    <t>Orlando City SC (MLS)</t>
  </si>
  <si>
    <t>Orlando City SC</t>
  </si>
  <si>
    <t>https://www.orlandocitysc.com</t>
  </si>
  <si>
    <t>Categoría: Turismo, eventos y deporte. Contenido según el documento: Partidos, estadio y eventos.</t>
  </si>
  <si>
    <t>F57</t>
  </si>
  <si>
    <t>NWS Melbourne (cubre Orlando)</t>
  </si>
  <si>
    <t>National Weather Service (NOAA)</t>
  </si>
  <si>
    <t>https://www.weather.gov/mlb</t>
  </si>
  <si>
    <t>Categoría: Clima, medio ambiente y salud. Contenido según el documento: Pronósticos, alertas y huracanes.</t>
  </si>
  <si>
    <t>F58</t>
  </si>
  <si>
    <t>NOAA Climate Data Online</t>
  </si>
  <si>
    <t>NOAA National Centers for Environmental Information</t>
  </si>
  <si>
    <t>https://www.ncei.noaa.gov/cdo-web/</t>
  </si>
  <si>
    <t>Nacional (por estación)</t>
  </si>
  <si>
    <t>Categoría: Clima, medio ambiente y salud. Contenido según el documento: Histórico descargable de temperatura y lluvia.</t>
  </si>
  <si>
    <t>F59</t>
  </si>
  <si>
    <t>AirNow (EPA)</t>
  </si>
  <si>
    <t>U.S. Environmental Protection Agency</t>
  </si>
  <si>
    <t>https://www.airnow.gov</t>
  </si>
  <si>
    <t>Nacional (por zona)</t>
  </si>
  <si>
    <t>Categoría: Clima, medio ambiente y salud. Contenido según el documento: Calidad del aire (AQI).</t>
  </si>
  <si>
    <t>F60</t>
  </si>
  <si>
    <t>PurpleAir</t>
  </si>
  <si>
    <t>https://map.purpleair.com</t>
  </si>
  <si>
    <t>Global (sensores en Orlando)</t>
  </si>
  <si>
    <t>Categoría: Clima, medio ambiente y salud. Contenido según el documento: Sensores ciudadanos de partículas PM2.5 en tiempo real.</t>
  </si>
  <si>
    <t>F61</t>
  </si>
  <si>
    <t>FEMA Flood Map Service Center</t>
  </si>
  <si>
    <t>Federal Emergency Management Agency (FEMA)</t>
  </si>
  <si>
    <t>https://msc.fema.gov</t>
  </si>
  <si>
    <t>Categoría: Clima, medio ambiente y salud. Contenido según el documento: Zonas de riesgo de inundación.</t>
  </si>
  <si>
    <t>F62</t>
  </si>
  <si>
    <t>Florida Health, Orange County</t>
  </si>
  <si>
    <t>Florida Department of Health in Orange County</t>
  </si>
  <si>
    <t>https://orange.floridahealth.gov</t>
  </si>
  <si>
    <t>Categoría: Clima, medio ambiente y salud. Contenido según el documento: Indicadores de salud pública y brotes.</t>
  </si>
  <si>
    <t>F63</t>
  </si>
  <si>
    <t>County Health Rankings</t>
  </si>
  <si>
    <t>University of Wisconsin Population Health Institute</t>
  </si>
  <si>
    <t>https://www.countyhealthrankings.org</t>
  </si>
  <si>
    <t>Categoría: Clima, medio ambiente y salud. Contenido según el documento: Ranking de salud del condado de Orange.</t>
  </si>
  <si>
    <t>F64</t>
  </si>
  <si>
    <t>FBI Crime Data Explorer</t>
  </si>
  <si>
    <t>Federal Bureau of Investigation (FBI)</t>
  </si>
  <si>
    <t>https://cde.ucr.cjis.gov</t>
  </si>
  <si>
    <t>Nacional (por agencia)</t>
  </si>
  <si>
    <t>Categoría: Clima, medio ambiente y salud. Contenido según el documento: Estadísticas oficiales de crimen por agencia (Orlando Police Department).</t>
  </si>
  <si>
    <t>F65</t>
  </si>
  <si>
    <t>Orlando Sentinel</t>
  </si>
  <si>
    <t>Medio de comunicación</t>
  </si>
  <si>
    <t>https://www.orlandosentinel.com</t>
  </si>
  <si>
    <t>Categoría: Medios locales. Contenido según el documento: Diario principal de la ciudad.</t>
  </si>
  <si>
    <t>F66</t>
  </si>
  <si>
    <t>WESH 2</t>
  </si>
  <si>
    <t>WESH 2 (Hearst Television)</t>
  </si>
  <si>
    <t>https://www.wesh.com</t>
  </si>
  <si>
    <t>Categoría: Medios locales. Contenido según el documento: Noticias locales de televisión.</t>
  </si>
  <si>
    <t>F67</t>
  </si>
  <si>
    <t>WFTV 9</t>
  </si>
  <si>
    <t>WFTV 9 (Cox Media Group)</t>
  </si>
  <si>
    <t>https://www.wftv.com</t>
  </si>
  <si>
    <t>Categoría: Medios locales. Contenido según el documento: Noticias locales y clima.</t>
  </si>
  <si>
    <t>F68</t>
  </si>
  <si>
    <t>Orlando Weekly</t>
  </si>
  <si>
    <t>https://www.orlandoweekly.com</t>
  </si>
  <si>
    <t>Categoría: Medios locales. Contenido según el documento: Cultura, vida nocturna y política local.</t>
  </si>
  <si>
    <t>F69</t>
  </si>
  <si>
    <t>Orlando Business Journal</t>
  </si>
  <si>
    <t>Orlando Business Journal (American City Business Journals)</t>
  </si>
  <si>
    <t>https://www.bizjournals.com/orlando</t>
  </si>
  <si>
    <t>Categoría: Medios locales. Contenido según el documento: Negocios, inversión y bienes raíces.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</si>
</sst>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9"/>
      <color rgb="FF555555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F1F1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0" fillId="0" borderId="0" xfId="0" applyFont="1"/>
    <xf numFmtId="0" fontId="9" fillId="0" borderId="1" xfId="0" applyFont="1" applyBorder="1"/>
    <xf numFmtId="0" fontId="9" fillId="0" borderId="0" xfId="0" applyFont="1"/>
    <xf numFmtId="9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AE8F5A-C9A7-4662-9A93-862DABE1CC55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1307542-c5ba-46e2-af78-befab232e5e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workbookViewId="0">
      <selection activeCell="B11" sqref="B11"/>
    </sheetView>
  </sheetViews>
  <sheetFormatPr defaultColWidth="8.85546875" defaultRowHeight="15" x14ac:dyDescent="0.25"/>
  <cols>
    <col min="1" max="1" width="4" customWidth="1"/>
    <col min="2" max="2" width="110" customWidth="1"/>
  </cols>
  <sheetData>
    <row r="1" spans="2:2" ht="18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/>
    </row>
    <row r="4" spans="2:2" x14ac:dyDescent="0.25">
      <c r="B4" s="4" t="s">
        <v>2</v>
      </c>
    </row>
    <row r="5" spans="2:2" x14ac:dyDescent="0.25">
      <c r="B5" s="5" t="s">
        <v>107</v>
      </c>
    </row>
    <row r="6" spans="2:2" x14ac:dyDescent="0.25">
      <c r="B6" s="5" t="s">
        <v>108</v>
      </c>
    </row>
    <row r="7" spans="2:2" x14ac:dyDescent="0.25">
      <c r="B7" s="5" t="s">
        <v>109</v>
      </c>
    </row>
    <row r="8" spans="2:2" x14ac:dyDescent="0.25">
      <c r="B8" s="3"/>
    </row>
    <row r="9" spans="2:2" x14ac:dyDescent="0.25">
      <c r="B9" s="4" t="s">
        <v>3</v>
      </c>
    </row>
    <row r="10" spans="2:2" ht="26.25" x14ac:dyDescent="0.25">
      <c r="B10" s="3" t="s">
        <v>4</v>
      </c>
    </row>
    <row r="11" spans="2:2" x14ac:dyDescent="0.25">
      <c r="B11" s="3" t="s">
        <v>5</v>
      </c>
    </row>
    <row r="12" spans="2:2" x14ac:dyDescent="0.25">
      <c r="B12" s="3" t="s">
        <v>6</v>
      </c>
    </row>
    <row r="13" spans="2:2" x14ac:dyDescent="0.25">
      <c r="B13" s="3" t="s">
        <v>7</v>
      </c>
    </row>
    <row r="14" spans="2:2" x14ac:dyDescent="0.25">
      <c r="B14" s="3"/>
    </row>
    <row r="15" spans="2:2" x14ac:dyDescent="0.25">
      <c r="B15" s="4" t="s">
        <v>8</v>
      </c>
    </row>
    <row r="16" spans="2:2" ht="26.25" x14ac:dyDescent="0.25">
      <c r="B16" s="3" t="s">
        <v>9</v>
      </c>
    </row>
    <row r="17" spans="2:2" x14ac:dyDescent="0.25">
      <c r="B17" s="3" t="s">
        <v>10</v>
      </c>
    </row>
    <row r="18" spans="2:2" x14ac:dyDescent="0.25">
      <c r="B18" s="3" t="s">
        <v>11</v>
      </c>
    </row>
    <row r="19" spans="2:2" x14ac:dyDescent="0.25">
      <c r="B19" s="3" t="s">
        <v>12</v>
      </c>
    </row>
    <row r="20" spans="2:2" x14ac:dyDescent="0.25">
      <c r="B20" s="3" t="s">
        <v>13</v>
      </c>
    </row>
    <row r="21" spans="2:2" x14ac:dyDescent="0.25">
      <c r="B21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workbookViewId="0">
      <pane xSplit="1" ySplit="3" topLeftCell="E4" activePane="bottomRight" state="frozen"/>
      <selection pane="topRight"/>
      <selection pane="bottomLeft"/>
      <selection pane="bottomRight" activeCell="A3" sqref="A3:P3"/>
    </sheetView>
  </sheetViews>
  <sheetFormatPr defaultColWidth="8.85546875" defaultRowHeight="15" x14ac:dyDescent="0.25"/>
  <cols>
    <col min="1" max="1" width="9" customWidth="1"/>
    <col min="2" max="2" width="28" customWidth="1"/>
    <col min="3" max="3" width="22" customWidth="1"/>
    <col min="4" max="4" width="18" customWidth="1"/>
    <col min="5" max="5" width="36" customWidth="1"/>
    <col min="6" max="6" width="12" customWidth="1"/>
    <col min="7" max="7" width="18" customWidth="1"/>
    <col min="8" max="8" width="22" customWidth="1"/>
    <col min="9" max="9" width="18" customWidth="1"/>
    <col min="10" max="10" width="16" customWidth="1"/>
    <col min="11" max="13" width="14" customWidth="1"/>
    <col min="14" max="14" width="20" customWidth="1"/>
    <col min="15" max="15" width="26" customWidth="1"/>
    <col min="16" max="16" width="32" customWidth="1"/>
  </cols>
  <sheetData>
    <row r="1" spans="1:16" ht="18" x14ac:dyDescent="0.25">
      <c r="A1" s="6" t="s">
        <v>15</v>
      </c>
    </row>
    <row r="2" spans="1:16" x14ac:dyDescent="0.25">
      <c r="A2" s="7" t="s">
        <v>16</v>
      </c>
    </row>
    <row r="3" spans="1:16" ht="42" customHeight="1" x14ac:dyDescent="0.2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8" t="s">
        <v>29</v>
      </c>
      <c r="N3" s="8" t="s">
        <v>30</v>
      </c>
      <c r="O3" s="8" t="s">
        <v>31</v>
      </c>
      <c r="P3" s="8" t="s">
        <v>32</v>
      </c>
    </row>
    <row r="4" spans="1:16" ht="48" x14ac:dyDescent="0.25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44</v>
      </c>
      <c r="M4" s="9" t="s">
        <v>45</v>
      </c>
      <c r="N4" s="9" t="s">
        <v>46</v>
      </c>
      <c r="O4" s="9" t="s">
        <v>47</v>
      </c>
      <c r="P4" s="9" t="s">
        <v>48</v>
      </c>
    </row>
    <row r="5" spans="1:16" ht="76.5" x14ac:dyDescent="0.25">
      <c r="A5" s="10" t="s">
        <v>33</v>
      </c>
      <c r="B5" s="10" t="s">
        <v>110</v>
      </c>
      <c r="C5" s="10" t="s">
        <v>111</v>
      </c>
      <c r="D5" s="10" t="s">
        <v>112</v>
      </c>
      <c r="E5" s="10" t="s">
        <v>113</v>
      </c>
      <c r="F5" s="10" t="s">
        <v>114</v>
      </c>
      <c r="G5" s="10"/>
      <c r="H5" s="10"/>
      <c r="I5" s="10"/>
      <c r="J5" s="10" t="s">
        <v>115</v>
      </c>
      <c r="K5" s="10"/>
      <c r="L5" s="10"/>
      <c r="M5" s="10"/>
      <c r="N5" s="10"/>
      <c r="O5" s="10" t="s">
        <v>116</v>
      </c>
      <c r="P5" s="10" t="s">
        <v>117</v>
      </c>
    </row>
    <row r="6" spans="1:16" ht="63.75" x14ac:dyDescent="0.25">
      <c r="A6" s="10" t="s">
        <v>118</v>
      </c>
      <c r="B6" s="10" t="s">
        <v>111</v>
      </c>
      <c r="C6" s="10" t="s">
        <v>111</v>
      </c>
      <c r="D6" s="10" t="s">
        <v>112</v>
      </c>
      <c r="E6" s="10" t="s">
        <v>119</v>
      </c>
      <c r="F6" s="10" t="s">
        <v>114</v>
      </c>
      <c r="G6" s="10"/>
      <c r="H6" s="10"/>
      <c r="I6" s="10"/>
      <c r="J6" s="10" t="s">
        <v>115</v>
      </c>
      <c r="K6" s="10"/>
      <c r="L6" s="10"/>
      <c r="M6" s="10"/>
      <c r="N6" s="10"/>
      <c r="O6" s="10" t="s">
        <v>116</v>
      </c>
      <c r="P6" s="10" t="s">
        <v>120</v>
      </c>
    </row>
    <row r="7" spans="1:16" ht="51" x14ac:dyDescent="0.25">
      <c r="A7" s="10" t="s">
        <v>121</v>
      </c>
      <c r="B7" s="10" t="s">
        <v>122</v>
      </c>
      <c r="C7" s="10" t="s">
        <v>122</v>
      </c>
      <c r="D7" s="10" t="s">
        <v>112</v>
      </c>
      <c r="E7" s="10" t="s">
        <v>123</v>
      </c>
      <c r="F7" s="10" t="s">
        <v>114</v>
      </c>
      <c r="G7" s="10"/>
      <c r="H7" s="10"/>
      <c r="I7" s="10"/>
      <c r="J7" s="10" t="s">
        <v>124</v>
      </c>
      <c r="K7" s="10"/>
      <c r="L7" s="10"/>
      <c r="M7" s="10"/>
      <c r="N7" s="10"/>
      <c r="O7" s="10" t="s">
        <v>116</v>
      </c>
      <c r="P7" s="10" t="s">
        <v>125</v>
      </c>
    </row>
    <row r="8" spans="1:16" ht="63.75" x14ac:dyDescent="0.25">
      <c r="A8" s="10" t="s">
        <v>126</v>
      </c>
      <c r="B8" s="10" t="s">
        <v>127</v>
      </c>
      <c r="C8" s="10" t="s">
        <v>127</v>
      </c>
      <c r="D8" s="10" t="s">
        <v>112</v>
      </c>
      <c r="E8" s="10" t="s">
        <v>128</v>
      </c>
      <c r="F8" s="10" t="s">
        <v>114</v>
      </c>
      <c r="G8" s="10"/>
      <c r="H8" s="10"/>
      <c r="I8" s="10"/>
      <c r="J8" s="10" t="s">
        <v>124</v>
      </c>
      <c r="K8" s="10"/>
      <c r="L8" s="10"/>
      <c r="M8" s="10"/>
      <c r="N8" s="10"/>
      <c r="O8" s="10" t="s">
        <v>116</v>
      </c>
      <c r="P8" s="10" t="s">
        <v>129</v>
      </c>
    </row>
    <row r="9" spans="1:16" ht="63.75" x14ac:dyDescent="0.25">
      <c r="A9" s="10" t="s">
        <v>130</v>
      </c>
      <c r="B9" s="10" t="s">
        <v>131</v>
      </c>
      <c r="C9" s="10" t="s">
        <v>131</v>
      </c>
      <c r="D9" s="10" t="s">
        <v>112</v>
      </c>
      <c r="E9" s="10" t="s">
        <v>132</v>
      </c>
      <c r="F9" s="10" t="s">
        <v>114</v>
      </c>
      <c r="G9" s="10"/>
      <c r="H9" s="10"/>
      <c r="I9" s="10"/>
      <c r="J9" s="10" t="s">
        <v>124</v>
      </c>
      <c r="K9" s="10"/>
      <c r="L9" s="10"/>
      <c r="M9" s="10"/>
      <c r="N9" s="10"/>
      <c r="O9" s="10" t="s">
        <v>116</v>
      </c>
      <c r="P9" s="10" t="s">
        <v>133</v>
      </c>
    </row>
    <row r="10" spans="1:16" ht="51" x14ac:dyDescent="0.25">
      <c r="A10" s="10" t="s">
        <v>134</v>
      </c>
      <c r="B10" s="10" t="s">
        <v>135</v>
      </c>
      <c r="C10" s="10" t="s">
        <v>136</v>
      </c>
      <c r="D10" s="10" t="s">
        <v>112</v>
      </c>
      <c r="E10" s="10" t="s">
        <v>137</v>
      </c>
      <c r="F10" s="10" t="s">
        <v>114</v>
      </c>
      <c r="G10" s="10"/>
      <c r="H10" s="10"/>
      <c r="I10" s="10"/>
      <c r="J10" s="10" t="s">
        <v>124</v>
      </c>
      <c r="K10" s="10"/>
      <c r="L10" s="10"/>
      <c r="M10" s="10"/>
      <c r="N10" s="10"/>
      <c r="O10" s="10" t="s">
        <v>116</v>
      </c>
      <c r="P10" s="10" t="s">
        <v>138</v>
      </c>
    </row>
    <row r="11" spans="1:16" ht="51" x14ac:dyDescent="0.25">
      <c r="A11" s="10" t="s">
        <v>139</v>
      </c>
      <c r="B11" s="10" t="s">
        <v>140</v>
      </c>
      <c r="C11" s="10" t="s">
        <v>141</v>
      </c>
      <c r="D11" s="10" t="s">
        <v>112</v>
      </c>
      <c r="E11" s="10" t="s">
        <v>142</v>
      </c>
      <c r="F11" s="10" t="s">
        <v>114</v>
      </c>
      <c r="G11" s="10"/>
      <c r="H11" s="10"/>
      <c r="I11" s="10"/>
      <c r="J11" s="10" t="s">
        <v>143</v>
      </c>
      <c r="K11" s="10"/>
      <c r="L11" s="10"/>
      <c r="M11" s="10"/>
      <c r="N11" s="10"/>
      <c r="O11" s="10" t="s">
        <v>116</v>
      </c>
      <c r="P11" s="10" t="s">
        <v>144</v>
      </c>
    </row>
    <row r="12" spans="1:16" ht="63.75" x14ac:dyDescent="0.25">
      <c r="A12" s="10" t="s">
        <v>145</v>
      </c>
      <c r="B12" s="10" t="s">
        <v>146</v>
      </c>
      <c r="C12" s="10" t="s">
        <v>147</v>
      </c>
      <c r="D12" s="10" t="s">
        <v>112</v>
      </c>
      <c r="E12" s="10" t="s">
        <v>148</v>
      </c>
      <c r="F12" s="10" t="s">
        <v>114</v>
      </c>
      <c r="G12" s="10"/>
      <c r="H12" s="10"/>
      <c r="I12" s="10"/>
      <c r="J12" s="10" t="s">
        <v>143</v>
      </c>
      <c r="K12" s="10"/>
      <c r="L12" s="10"/>
      <c r="M12" s="10"/>
      <c r="N12" s="10"/>
      <c r="O12" s="10" t="s">
        <v>116</v>
      </c>
      <c r="P12" s="10" t="s">
        <v>149</v>
      </c>
    </row>
    <row r="13" spans="1:16" ht="63.75" x14ac:dyDescent="0.25">
      <c r="A13" s="10" t="s">
        <v>150</v>
      </c>
      <c r="B13" s="10" t="s">
        <v>151</v>
      </c>
      <c r="C13" s="10" t="s">
        <v>151</v>
      </c>
      <c r="D13" s="10" t="s">
        <v>112</v>
      </c>
      <c r="E13" s="10" t="s">
        <v>152</v>
      </c>
      <c r="F13" s="10" t="s">
        <v>114</v>
      </c>
      <c r="G13" s="10"/>
      <c r="H13" s="10"/>
      <c r="I13" s="10"/>
      <c r="J13" s="10" t="s">
        <v>153</v>
      </c>
      <c r="K13" s="10"/>
      <c r="L13" s="10"/>
      <c r="M13" s="10"/>
      <c r="N13" s="10"/>
      <c r="O13" s="10" t="s">
        <v>116</v>
      </c>
      <c r="P13" s="10" t="s">
        <v>154</v>
      </c>
    </row>
    <row r="14" spans="1:16" ht="51" x14ac:dyDescent="0.25">
      <c r="A14" s="10" t="s">
        <v>155</v>
      </c>
      <c r="B14" s="10" t="s">
        <v>156</v>
      </c>
      <c r="C14" s="10" t="s">
        <v>156</v>
      </c>
      <c r="D14" s="10" t="s">
        <v>112</v>
      </c>
      <c r="E14" s="10" t="s">
        <v>157</v>
      </c>
      <c r="F14" s="10" t="s">
        <v>114</v>
      </c>
      <c r="G14" s="10"/>
      <c r="H14" s="10"/>
      <c r="I14" s="10"/>
      <c r="J14" s="10" t="s">
        <v>158</v>
      </c>
      <c r="K14" s="10"/>
      <c r="L14" s="10"/>
      <c r="M14" s="10"/>
      <c r="N14" s="10"/>
      <c r="O14" s="10" t="s">
        <v>116</v>
      </c>
      <c r="P14" s="10" t="s">
        <v>159</v>
      </c>
    </row>
    <row r="15" spans="1:16" ht="63.75" x14ac:dyDescent="0.25">
      <c r="A15" s="10" t="s">
        <v>160</v>
      </c>
      <c r="B15" s="10" t="s">
        <v>161</v>
      </c>
      <c r="C15" s="10" t="s">
        <v>162</v>
      </c>
      <c r="D15" s="10" t="s">
        <v>112</v>
      </c>
      <c r="E15" s="10" t="s">
        <v>163</v>
      </c>
      <c r="F15" s="10" t="s">
        <v>114</v>
      </c>
      <c r="G15" s="10"/>
      <c r="H15" s="10"/>
      <c r="I15" s="10"/>
      <c r="J15" s="10" t="s">
        <v>115</v>
      </c>
      <c r="K15" s="10"/>
      <c r="L15" s="10"/>
      <c r="M15" s="10"/>
      <c r="N15" s="10"/>
      <c r="O15" s="10" t="s">
        <v>116</v>
      </c>
      <c r="P15" s="10" t="s">
        <v>164</v>
      </c>
    </row>
    <row r="16" spans="1:16" ht="63.75" x14ac:dyDescent="0.25">
      <c r="A16" s="10" t="s">
        <v>165</v>
      </c>
      <c r="B16" s="10" t="s">
        <v>166</v>
      </c>
      <c r="C16" s="10" t="s">
        <v>162</v>
      </c>
      <c r="D16" s="10" t="s">
        <v>112</v>
      </c>
      <c r="E16" s="10" t="s">
        <v>167</v>
      </c>
      <c r="F16" s="10" t="s">
        <v>114</v>
      </c>
      <c r="G16" s="10"/>
      <c r="H16" s="10"/>
      <c r="I16" s="10"/>
      <c r="J16" s="10" t="s">
        <v>168</v>
      </c>
      <c r="K16" s="10"/>
      <c r="L16" s="10"/>
      <c r="M16" s="10"/>
      <c r="N16" s="10"/>
      <c r="O16" s="10" t="s">
        <v>116</v>
      </c>
      <c r="P16" s="10" t="s">
        <v>169</v>
      </c>
    </row>
    <row r="17" spans="1:16" ht="51" x14ac:dyDescent="0.25">
      <c r="A17" s="10" t="s">
        <v>170</v>
      </c>
      <c r="B17" s="10" t="s">
        <v>171</v>
      </c>
      <c r="C17" s="10" t="s">
        <v>172</v>
      </c>
      <c r="D17" s="10" t="s">
        <v>112</v>
      </c>
      <c r="E17" s="10" t="s">
        <v>173</v>
      </c>
      <c r="F17" s="10" t="s">
        <v>114</v>
      </c>
      <c r="G17" s="10"/>
      <c r="H17" s="10"/>
      <c r="I17" s="10"/>
      <c r="J17" s="10" t="s">
        <v>174</v>
      </c>
      <c r="K17" s="10"/>
      <c r="L17" s="10"/>
      <c r="M17" s="10"/>
      <c r="N17" s="10"/>
      <c r="O17" s="10" t="s">
        <v>116</v>
      </c>
      <c r="P17" s="10" t="s">
        <v>175</v>
      </c>
    </row>
    <row r="18" spans="1:16" ht="76.5" x14ac:dyDescent="0.25">
      <c r="A18" s="10" t="s">
        <v>176</v>
      </c>
      <c r="B18" s="10" t="s">
        <v>177</v>
      </c>
      <c r="C18" s="10" t="s">
        <v>178</v>
      </c>
      <c r="D18" s="10" t="s">
        <v>112</v>
      </c>
      <c r="E18" s="10" t="s">
        <v>179</v>
      </c>
      <c r="F18" s="10" t="s">
        <v>114</v>
      </c>
      <c r="G18" s="10"/>
      <c r="H18" s="10"/>
      <c r="I18" s="10"/>
      <c r="J18" s="10" t="s">
        <v>180</v>
      </c>
      <c r="K18" s="10"/>
      <c r="L18" s="10"/>
      <c r="M18" s="10"/>
      <c r="N18" s="10"/>
      <c r="O18" s="10" t="s">
        <v>116</v>
      </c>
      <c r="P18" s="10" t="s">
        <v>181</v>
      </c>
    </row>
    <row r="19" spans="1:16" ht="51" x14ac:dyDescent="0.25">
      <c r="A19" s="10" t="s">
        <v>182</v>
      </c>
      <c r="B19" s="10" t="s">
        <v>183</v>
      </c>
      <c r="C19" s="10" t="s">
        <v>183</v>
      </c>
      <c r="D19" s="10" t="s">
        <v>112</v>
      </c>
      <c r="E19" s="10" t="s">
        <v>184</v>
      </c>
      <c r="F19" s="10" t="s">
        <v>114</v>
      </c>
      <c r="G19" s="10"/>
      <c r="H19" s="10"/>
      <c r="I19" s="10"/>
      <c r="J19" s="10" t="s">
        <v>185</v>
      </c>
      <c r="K19" s="10"/>
      <c r="L19" s="10"/>
      <c r="M19" s="10"/>
      <c r="N19" s="10"/>
      <c r="O19" s="10" t="s">
        <v>116</v>
      </c>
      <c r="P19" s="10" t="s">
        <v>186</v>
      </c>
    </row>
    <row r="20" spans="1:16" ht="63.75" x14ac:dyDescent="0.25">
      <c r="A20" s="10" t="s">
        <v>187</v>
      </c>
      <c r="B20" s="10" t="s">
        <v>188</v>
      </c>
      <c r="C20" s="10" t="s">
        <v>188</v>
      </c>
      <c r="D20" s="10" t="s">
        <v>189</v>
      </c>
      <c r="E20" s="10" t="s">
        <v>190</v>
      </c>
      <c r="F20" s="10" t="s">
        <v>114</v>
      </c>
      <c r="G20" s="10"/>
      <c r="H20" s="10"/>
      <c r="I20" s="10"/>
      <c r="J20" s="10" t="s">
        <v>153</v>
      </c>
      <c r="K20" s="10"/>
      <c r="L20" s="10"/>
      <c r="M20" s="10"/>
      <c r="N20" s="10"/>
      <c r="O20" s="10" t="s">
        <v>116</v>
      </c>
      <c r="P20" s="10" t="s">
        <v>191</v>
      </c>
    </row>
    <row r="21" spans="1:16" ht="51" x14ac:dyDescent="0.25">
      <c r="A21" s="10" t="s">
        <v>192</v>
      </c>
      <c r="B21" s="10" t="s">
        <v>193</v>
      </c>
      <c r="C21" s="10" t="s">
        <v>194</v>
      </c>
      <c r="D21" s="10" t="s">
        <v>112</v>
      </c>
      <c r="E21" s="10" t="s">
        <v>195</v>
      </c>
      <c r="F21" s="10" t="s">
        <v>114</v>
      </c>
      <c r="G21" s="10"/>
      <c r="H21" s="10"/>
      <c r="I21" s="10"/>
      <c r="J21" s="10" t="s">
        <v>196</v>
      </c>
      <c r="K21" s="10"/>
      <c r="L21" s="10"/>
      <c r="M21" s="10"/>
      <c r="N21" s="10"/>
      <c r="O21" s="10" t="s">
        <v>116</v>
      </c>
      <c r="P21" s="10" t="s">
        <v>197</v>
      </c>
    </row>
    <row r="22" spans="1:16" ht="63.75" x14ac:dyDescent="0.25">
      <c r="A22" s="10" t="s">
        <v>198</v>
      </c>
      <c r="B22" s="10" t="s">
        <v>199</v>
      </c>
      <c r="C22" s="10" t="s">
        <v>199</v>
      </c>
      <c r="D22" s="10" t="s">
        <v>36</v>
      </c>
      <c r="E22" s="10" t="s">
        <v>200</v>
      </c>
      <c r="F22" s="10" t="s">
        <v>114</v>
      </c>
      <c r="G22" s="10"/>
      <c r="H22" s="10"/>
      <c r="I22" s="10"/>
      <c r="J22" s="10" t="s">
        <v>115</v>
      </c>
      <c r="K22" s="10"/>
      <c r="L22" s="10"/>
      <c r="M22" s="10"/>
      <c r="N22" s="10"/>
      <c r="O22" s="10" t="s">
        <v>116</v>
      </c>
      <c r="P22" s="10" t="s">
        <v>201</v>
      </c>
    </row>
    <row r="23" spans="1:16" ht="51" x14ac:dyDescent="0.25">
      <c r="A23" s="10" t="s">
        <v>202</v>
      </c>
      <c r="B23" s="10" t="s">
        <v>203</v>
      </c>
      <c r="C23" s="10" t="s">
        <v>203</v>
      </c>
      <c r="D23" s="10" t="s">
        <v>204</v>
      </c>
      <c r="E23" s="10" t="s">
        <v>205</v>
      </c>
      <c r="F23" s="10" t="s">
        <v>114</v>
      </c>
      <c r="G23" s="10"/>
      <c r="H23" s="10"/>
      <c r="I23" s="10"/>
      <c r="J23" s="10" t="s">
        <v>206</v>
      </c>
      <c r="K23" s="10"/>
      <c r="L23" s="10"/>
      <c r="M23" s="10"/>
      <c r="N23" s="10"/>
      <c r="O23" s="10" t="s">
        <v>116</v>
      </c>
      <c r="P23" s="10" t="s">
        <v>207</v>
      </c>
    </row>
    <row r="24" spans="1:16" ht="63.75" x14ac:dyDescent="0.25">
      <c r="A24" s="10" t="s">
        <v>208</v>
      </c>
      <c r="B24" s="10" t="s">
        <v>209</v>
      </c>
      <c r="C24" s="10" t="s">
        <v>209</v>
      </c>
      <c r="D24" s="10" t="s">
        <v>204</v>
      </c>
      <c r="E24" s="10" t="s">
        <v>210</v>
      </c>
      <c r="F24" s="10" t="s">
        <v>114</v>
      </c>
      <c r="G24" s="10"/>
      <c r="H24" s="10"/>
      <c r="I24" s="10"/>
      <c r="J24" s="10" t="s">
        <v>211</v>
      </c>
      <c r="K24" s="10"/>
      <c r="L24" s="10"/>
      <c r="M24" s="10"/>
      <c r="N24" s="10"/>
      <c r="O24" s="10" t="s">
        <v>116</v>
      </c>
      <c r="P24" s="10" t="s">
        <v>212</v>
      </c>
    </row>
    <row r="25" spans="1:16" ht="51" x14ac:dyDescent="0.25">
      <c r="A25" s="10" t="s">
        <v>213</v>
      </c>
      <c r="B25" s="10" t="s">
        <v>214</v>
      </c>
      <c r="C25" s="10" t="s">
        <v>215</v>
      </c>
      <c r="D25" s="10" t="s">
        <v>112</v>
      </c>
      <c r="E25" s="10" t="s">
        <v>216</v>
      </c>
      <c r="F25" s="10" t="s">
        <v>114</v>
      </c>
      <c r="G25" s="10"/>
      <c r="H25" s="10"/>
      <c r="I25" s="10"/>
      <c r="J25" s="10" t="s">
        <v>153</v>
      </c>
      <c r="K25" s="10"/>
      <c r="L25" s="10"/>
      <c r="M25" s="10"/>
      <c r="N25" s="10"/>
      <c r="O25" s="10" t="s">
        <v>116</v>
      </c>
      <c r="P25" s="10" t="s">
        <v>217</v>
      </c>
    </row>
    <row r="26" spans="1:16" ht="51" x14ac:dyDescent="0.25">
      <c r="A26" s="10" t="s">
        <v>218</v>
      </c>
      <c r="B26" s="10" t="s">
        <v>219</v>
      </c>
      <c r="C26" s="10" t="s">
        <v>220</v>
      </c>
      <c r="D26" s="10" t="s">
        <v>112</v>
      </c>
      <c r="E26" s="10" t="s">
        <v>221</v>
      </c>
      <c r="F26" s="10" t="s">
        <v>114</v>
      </c>
      <c r="G26" s="10"/>
      <c r="H26" s="10"/>
      <c r="I26" s="10"/>
      <c r="J26" s="10" t="s">
        <v>153</v>
      </c>
      <c r="K26" s="10"/>
      <c r="L26" s="10"/>
      <c r="M26" s="10"/>
      <c r="N26" s="10"/>
      <c r="O26" s="10" t="s">
        <v>116</v>
      </c>
      <c r="P26" s="10" t="s">
        <v>222</v>
      </c>
    </row>
    <row r="27" spans="1:16" ht="51" x14ac:dyDescent="0.25">
      <c r="A27" s="10" t="s">
        <v>223</v>
      </c>
      <c r="B27" s="10" t="s">
        <v>224</v>
      </c>
      <c r="C27" s="10" t="s">
        <v>225</v>
      </c>
      <c r="D27" s="10" t="s">
        <v>112</v>
      </c>
      <c r="E27" s="10" t="s">
        <v>226</v>
      </c>
      <c r="F27" s="10" t="s">
        <v>114</v>
      </c>
      <c r="G27" s="10"/>
      <c r="H27" s="10"/>
      <c r="I27" s="10"/>
      <c r="J27" s="10" t="s">
        <v>227</v>
      </c>
      <c r="K27" s="10"/>
      <c r="L27" s="10"/>
      <c r="M27" s="10"/>
      <c r="N27" s="10"/>
      <c r="O27" s="10" t="s">
        <v>116</v>
      </c>
      <c r="P27" s="10" t="s">
        <v>228</v>
      </c>
    </row>
    <row r="28" spans="1:16" ht="51" x14ac:dyDescent="0.25">
      <c r="A28" s="10" t="s">
        <v>229</v>
      </c>
      <c r="B28" s="10" t="s">
        <v>230</v>
      </c>
      <c r="C28" s="10" t="s">
        <v>231</v>
      </c>
      <c r="D28" s="10" t="s">
        <v>204</v>
      </c>
      <c r="E28" s="10" t="s">
        <v>232</v>
      </c>
      <c r="F28" s="10" t="s">
        <v>114</v>
      </c>
      <c r="G28" s="10"/>
      <c r="H28" s="10"/>
      <c r="I28" s="10"/>
      <c r="J28" s="10" t="s">
        <v>227</v>
      </c>
      <c r="K28" s="10"/>
      <c r="L28" s="10"/>
      <c r="M28" s="10"/>
      <c r="N28" s="10"/>
      <c r="O28" s="10" t="s">
        <v>116</v>
      </c>
      <c r="P28" s="10" t="s">
        <v>233</v>
      </c>
    </row>
    <row r="29" spans="1:16" ht="51" x14ac:dyDescent="0.25">
      <c r="A29" s="10" t="s">
        <v>234</v>
      </c>
      <c r="B29" s="10" t="s">
        <v>235</v>
      </c>
      <c r="C29" s="10" t="s">
        <v>236</v>
      </c>
      <c r="D29" s="10" t="s">
        <v>112</v>
      </c>
      <c r="E29" s="10" t="s">
        <v>237</v>
      </c>
      <c r="F29" s="10" t="s">
        <v>114</v>
      </c>
      <c r="G29" s="10"/>
      <c r="H29" s="10"/>
      <c r="I29" s="10"/>
      <c r="J29" s="10" t="s">
        <v>238</v>
      </c>
      <c r="K29" s="10"/>
      <c r="L29" s="10"/>
      <c r="M29" s="10"/>
      <c r="N29" s="10"/>
      <c r="O29" s="10" t="s">
        <v>116</v>
      </c>
      <c r="P29" s="10" t="s">
        <v>239</v>
      </c>
    </row>
    <row r="30" spans="1:16" ht="51" x14ac:dyDescent="0.25">
      <c r="A30" s="10" t="s">
        <v>240</v>
      </c>
      <c r="B30" s="10" t="s">
        <v>241</v>
      </c>
      <c r="C30" s="10" t="s">
        <v>236</v>
      </c>
      <c r="D30" s="10" t="s">
        <v>112</v>
      </c>
      <c r="E30" s="10" t="s">
        <v>242</v>
      </c>
      <c r="F30" s="10" t="s">
        <v>114</v>
      </c>
      <c r="G30" s="10"/>
      <c r="H30" s="10"/>
      <c r="I30" s="10"/>
      <c r="J30" s="10" t="s">
        <v>143</v>
      </c>
      <c r="K30" s="10"/>
      <c r="L30" s="10"/>
      <c r="M30" s="10"/>
      <c r="N30" s="10"/>
      <c r="O30" s="10" t="s">
        <v>116</v>
      </c>
      <c r="P30" s="10" t="s">
        <v>243</v>
      </c>
    </row>
    <row r="31" spans="1:16" ht="51" x14ac:dyDescent="0.25">
      <c r="A31" s="10" t="s">
        <v>244</v>
      </c>
      <c r="B31" s="10" t="s">
        <v>245</v>
      </c>
      <c r="C31" s="10" t="s">
        <v>246</v>
      </c>
      <c r="D31" s="10" t="s">
        <v>112</v>
      </c>
      <c r="E31" s="10" t="s">
        <v>247</v>
      </c>
      <c r="F31" s="10" t="s">
        <v>114</v>
      </c>
      <c r="G31" s="10"/>
      <c r="H31" s="10"/>
      <c r="I31" s="10"/>
      <c r="J31" s="10" t="s">
        <v>153</v>
      </c>
      <c r="K31" s="10"/>
      <c r="L31" s="10"/>
      <c r="M31" s="10"/>
      <c r="N31" s="10"/>
      <c r="O31" s="10" t="s">
        <v>116</v>
      </c>
      <c r="P31" s="10" t="s">
        <v>248</v>
      </c>
    </row>
    <row r="32" spans="1:16" ht="51" x14ac:dyDescent="0.25">
      <c r="A32" s="10" t="s">
        <v>249</v>
      </c>
      <c r="B32" s="10" t="s">
        <v>250</v>
      </c>
      <c r="C32" s="10" t="s">
        <v>251</v>
      </c>
      <c r="D32" s="10" t="s">
        <v>204</v>
      </c>
      <c r="E32" s="10" t="s">
        <v>252</v>
      </c>
      <c r="F32" s="10" t="s">
        <v>114</v>
      </c>
      <c r="G32" s="10"/>
      <c r="H32" s="10"/>
      <c r="I32" s="10"/>
      <c r="J32" s="10" t="s">
        <v>253</v>
      </c>
      <c r="K32" s="10"/>
      <c r="L32" s="10"/>
      <c r="M32" s="10"/>
      <c r="N32" s="10"/>
      <c r="O32" s="10" t="s">
        <v>116</v>
      </c>
      <c r="P32" s="10" t="s">
        <v>254</v>
      </c>
    </row>
    <row r="33" spans="1:16" ht="51" x14ac:dyDescent="0.25">
      <c r="A33" s="10" t="s">
        <v>255</v>
      </c>
      <c r="B33" s="10" t="s">
        <v>256</v>
      </c>
      <c r="C33" s="10" t="s">
        <v>256</v>
      </c>
      <c r="D33" s="10" t="s">
        <v>204</v>
      </c>
      <c r="E33" s="10" t="s">
        <v>257</v>
      </c>
      <c r="F33" s="10" t="s">
        <v>114</v>
      </c>
      <c r="G33" s="10"/>
      <c r="H33" s="10"/>
      <c r="I33" s="10"/>
      <c r="J33" s="10" t="s">
        <v>115</v>
      </c>
      <c r="K33" s="10"/>
      <c r="L33" s="10"/>
      <c r="M33" s="10"/>
      <c r="N33" s="10"/>
      <c r="O33" s="10" t="s">
        <v>116</v>
      </c>
      <c r="P33" s="10" t="s">
        <v>258</v>
      </c>
    </row>
    <row r="34" spans="1:16" ht="51" x14ac:dyDescent="0.25">
      <c r="A34" s="10" t="s">
        <v>259</v>
      </c>
      <c r="B34" s="10" t="s">
        <v>260</v>
      </c>
      <c r="C34" s="10" t="s">
        <v>261</v>
      </c>
      <c r="D34" s="10" t="s">
        <v>204</v>
      </c>
      <c r="E34" s="10" t="s">
        <v>262</v>
      </c>
      <c r="F34" s="10" t="s">
        <v>114</v>
      </c>
      <c r="G34" s="10"/>
      <c r="H34" s="10"/>
      <c r="I34" s="10"/>
      <c r="J34" s="10" t="s">
        <v>263</v>
      </c>
      <c r="K34" s="10"/>
      <c r="L34" s="10"/>
      <c r="M34" s="10"/>
      <c r="N34" s="10"/>
      <c r="O34" s="10" t="s">
        <v>116</v>
      </c>
      <c r="P34" s="10" t="s">
        <v>264</v>
      </c>
    </row>
    <row r="35" spans="1:16" ht="63.75" x14ac:dyDescent="0.25">
      <c r="A35" s="10" t="s">
        <v>265</v>
      </c>
      <c r="B35" s="10" t="s">
        <v>266</v>
      </c>
      <c r="C35" s="10" t="s">
        <v>266</v>
      </c>
      <c r="D35" s="10" t="s">
        <v>204</v>
      </c>
      <c r="E35" s="10" t="s">
        <v>267</v>
      </c>
      <c r="F35" s="10" t="s">
        <v>114</v>
      </c>
      <c r="G35" s="10"/>
      <c r="H35" s="10"/>
      <c r="I35" s="10"/>
      <c r="J35" s="10" t="s">
        <v>115</v>
      </c>
      <c r="K35" s="10"/>
      <c r="L35" s="10"/>
      <c r="M35" s="10"/>
      <c r="N35" s="10"/>
      <c r="O35" s="10" t="s">
        <v>116</v>
      </c>
      <c r="P35" s="10" t="s">
        <v>268</v>
      </c>
    </row>
    <row r="36" spans="1:16" ht="76.5" x14ac:dyDescent="0.25">
      <c r="A36" s="10" t="s">
        <v>269</v>
      </c>
      <c r="B36" s="10" t="s">
        <v>270</v>
      </c>
      <c r="C36" s="10" t="s">
        <v>270</v>
      </c>
      <c r="D36" s="10" t="s">
        <v>204</v>
      </c>
      <c r="E36" s="10" t="s">
        <v>271</v>
      </c>
      <c r="F36" s="10" t="s">
        <v>114</v>
      </c>
      <c r="G36" s="10"/>
      <c r="H36" s="10"/>
      <c r="I36" s="10"/>
      <c r="J36" s="10" t="s">
        <v>272</v>
      </c>
      <c r="K36" s="10"/>
      <c r="L36" s="10"/>
      <c r="M36" s="10"/>
      <c r="N36" s="10"/>
      <c r="O36" s="10" t="s">
        <v>116</v>
      </c>
      <c r="P36" s="10" t="s">
        <v>273</v>
      </c>
    </row>
    <row r="37" spans="1:16" ht="63.75" x14ac:dyDescent="0.25">
      <c r="A37" s="10" t="s">
        <v>274</v>
      </c>
      <c r="B37" s="10" t="s">
        <v>275</v>
      </c>
      <c r="C37" s="10" t="s">
        <v>276</v>
      </c>
      <c r="D37" s="10" t="s">
        <v>204</v>
      </c>
      <c r="E37" s="10" t="s">
        <v>277</v>
      </c>
      <c r="F37" s="10" t="s">
        <v>114</v>
      </c>
      <c r="G37" s="10"/>
      <c r="H37" s="10"/>
      <c r="I37" s="10"/>
      <c r="J37" s="10" t="s">
        <v>278</v>
      </c>
      <c r="K37" s="10"/>
      <c r="L37" s="10"/>
      <c r="M37" s="10"/>
      <c r="N37" s="10"/>
      <c r="O37" s="10" t="s">
        <v>116</v>
      </c>
      <c r="P37" s="10" t="s">
        <v>279</v>
      </c>
    </row>
    <row r="38" spans="1:16" ht="63.75" x14ac:dyDescent="0.25">
      <c r="A38" s="10" t="s">
        <v>280</v>
      </c>
      <c r="B38" s="10" t="s">
        <v>281</v>
      </c>
      <c r="C38" s="10" t="s">
        <v>282</v>
      </c>
      <c r="D38" s="10" t="s">
        <v>204</v>
      </c>
      <c r="E38" s="10" t="s">
        <v>283</v>
      </c>
      <c r="F38" s="10" t="s">
        <v>114</v>
      </c>
      <c r="G38" s="10"/>
      <c r="H38" s="10"/>
      <c r="I38" s="10"/>
      <c r="J38" s="10" t="s">
        <v>284</v>
      </c>
      <c r="K38" s="10"/>
      <c r="L38" s="10"/>
      <c r="M38" s="10"/>
      <c r="N38" s="10"/>
      <c r="O38" s="10" t="s">
        <v>116</v>
      </c>
      <c r="P38" s="10" t="s">
        <v>285</v>
      </c>
    </row>
    <row r="39" spans="1:16" ht="51" x14ac:dyDescent="0.25">
      <c r="A39" s="10" t="s">
        <v>286</v>
      </c>
      <c r="B39" s="10" t="s">
        <v>287</v>
      </c>
      <c r="C39" s="10" t="s">
        <v>282</v>
      </c>
      <c r="D39" s="10" t="s">
        <v>204</v>
      </c>
      <c r="E39" s="10" t="s">
        <v>288</v>
      </c>
      <c r="F39" s="10" t="s">
        <v>114</v>
      </c>
      <c r="G39" s="10"/>
      <c r="H39" s="10"/>
      <c r="I39" s="10"/>
      <c r="J39" s="10" t="s">
        <v>284</v>
      </c>
      <c r="K39" s="10"/>
      <c r="L39" s="10"/>
      <c r="M39" s="10"/>
      <c r="N39" s="10"/>
      <c r="O39" s="10" t="s">
        <v>116</v>
      </c>
      <c r="P39" s="10" t="s">
        <v>289</v>
      </c>
    </row>
    <row r="40" spans="1:16" ht="51" x14ac:dyDescent="0.25">
      <c r="A40" s="10" t="s">
        <v>290</v>
      </c>
      <c r="B40" s="10" t="s">
        <v>291</v>
      </c>
      <c r="C40" s="10" t="s">
        <v>291</v>
      </c>
      <c r="D40" s="10" t="s">
        <v>204</v>
      </c>
      <c r="E40" s="10" t="s">
        <v>292</v>
      </c>
      <c r="F40" s="10" t="s">
        <v>114</v>
      </c>
      <c r="G40" s="10"/>
      <c r="H40" s="10"/>
      <c r="I40" s="10"/>
      <c r="J40" s="10" t="s">
        <v>115</v>
      </c>
      <c r="K40" s="10"/>
      <c r="L40" s="10"/>
      <c r="M40" s="10"/>
      <c r="N40" s="10"/>
      <c r="O40" s="10" t="s">
        <v>116</v>
      </c>
      <c r="P40" s="10" t="s">
        <v>293</v>
      </c>
    </row>
    <row r="41" spans="1:16" ht="63.75" x14ac:dyDescent="0.25">
      <c r="A41" s="10" t="s">
        <v>294</v>
      </c>
      <c r="B41" s="10" t="s">
        <v>295</v>
      </c>
      <c r="C41" s="10" t="s">
        <v>295</v>
      </c>
      <c r="D41" s="10" t="s">
        <v>204</v>
      </c>
      <c r="E41" s="10" t="s">
        <v>296</v>
      </c>
      <c r="F41" s="10" t="s">
        <v>114</v>
      </c>
      <c r="G41" s="10"/>
      <c r="H41" s="10"/>
      <c r="I41" s="10"/>
      <c r="J41" s="10" t="s">
        <v>206</v>
      </c>
      <c r="K41" s="10"/>
      <c r="L41" s="10"/>
      <c r="M41" s="10"/>
      <c r="N41" s="10"/>
      <c r="O41" s="10" t="s">
        <v>116</v>
      </c>
      <c r="P41" s="10" t="s">
        <v>297</v>
      </c>
    </row>
    <row r="42" spans="1:16" ht="51" x14ac:dyDescent="0.25">
      <c r="A42" s="10" t="s">
        <v>298</v>
      </c>
      <c r="B42" s="10" t="s">
        <v>299</v>
      </c>
      <c r="C42" s="10" t="s">
        <v>299</v>
      </c>
      <c r="D42" s="10" t="s">
        <v>204</v>
      </c>
      <c r="E42" s="10" t="s">
        <v>300</v>
      </c>
      <c r="F42" s="10" t="s">
        <v>114</v>
      </c>
      <c r="G42" s="10"/>
      <c r="H42" s="10"/>
      <c r="I42" s="10"/>
      <c r="J42" s="10" t="s">
        <v>115</v>
      </c>
      <c r="K42" s="10"/>
      <c r="L42" s="10"/>
      <c r="M42" s="10"/>
      <c r="N42" s="10"/>
      <c r="O42" s="10" t="s">
        <v>116</v>
      </c>
      <c r="P42" s="10" t="s">
        <v>301</v>
      </c>
    </row>
    <row r="43" spans="1:16" ht="63.75" x14ac:dyDescent="0.25">
      <c r="A43" s="10" t="s">
        <v>302</v>
      </c>
      <c r="B43" s="10" t="s">
        <v>303</v>
      </c>
      <c r="C43" s="10" t="s">
        <v>304</v>
      </c>
      <c r="D43" s="10" t="s">
        <v>204</v>
      </c>
      <c r="E43" s="10" t="s">
        <v>305</v>
      </c>
      <c r="F43" s="10" t="s">
        <v>114</v>
      </c>
      <c r="G43" s="10"/>
      <c r="H43" s="10"/>
      <c r="I43" s="10"/>
      <c r="J43" s="10" t="s">
        <v>115</v>
      </c>
      <c r="K43" s="10"/>
      <c r="L43" s="10"/>
      <c r="M43" s="10"/>
      <c r="N43" s="10"/>
      <c r="O43" s="10" t="s">
        <v>116</v>
      </c>
      <c r="P43" s="10" t="s">
        <v>306</v>
      </c>
    </row>
    <row r="44" spans="1:16" ht="63.75" x14ac:dyDescent="0.25">
      <c r="A44" s="10" t="s">
        <v>307</v>
      </c>
      <c r="B44" s="10" t="s">
        <v>308</v>
      </c>
      <c r="C44" s="10" t="s">
        <v>308</v>
      </c>
      <c r="D44" s="10" t="s">
        <v>204</v>
      </c>
      <c r="E44" s="10" t="s">
        <v>309</v>
      </c>
      <c r="F44" s="10" t="s">
        <v>114</v>
      </c>
      <c r="G44" s="10"/>
      <c r="H44" s="10"/>
      <c r="I44" s="10"/>
      <c r="J44" s="10" t="s">
        <v>115</v>
      </c>
      <c r="K44" s="10"/>
      <c r="L44" s="10"/>
      <c r="M44" s="10"/>
      <c r="N44" s="10"/>
      <c r="O44" s="10" t="s">
        <v>116</v>
      </c>
      <c r="P44" s="10" t="s">
        <v>310</v>
      </c>
    </row>
    <row r="45" spans="1:16" ht="63.75" x14ac:dyDescent="0.25">
      <c r="A45" s="10" t="s">
        <v>311</v>
      </c>
      <c r="B45" s="10" t="s">
        <v>312</v>
      </c>
      <c r="C45" s="10" t="s">
        <v>308</v>
      </c>
      <c r="D45" s="10" t="s">
        <v>204</v>
      </c>
      <c r="E45" s="10" t="s">
        <v>313</v>
      </c>
      <c r="F45" s="10" t="s">
        <v>114</v>
      </c>
      <c r="G45" s="10"/>
      <c r="H45" s="10"/>
      <c r="I45" s="10"/>
      <c r="J45" s="10" t="s">
        <v>196</v>
      </c>
      <c r="K45" s="10"/>
      <c r="L45" s="10"/>
      <c r="M45" s="10"/>
      <c r="N45" s="10"/>
      <c r="O45" s="10" t="s">
        <v>116</v>
      </c>
      <c r="P45" s="10" t="s">
        <v>314</v>
      </c>
    </row>
    <row r="46" spans="1:16" ht="63.75" x14ac:dyDescent="0.25">
      <c r="A46" s="10" t="s">
        <v>315</v>
      </c>
      <c r="B46" s="10" t="s">
        <v>316</v>
      </c>
      <c r="C46" s="10" t="s">
        <v>317</v>
      </c>
      <c r="D46" s="10" t="s">
        <v>204</v>
      </c>
      <c r="E46" s="10" t="s">
        <v>318</v>
      </c>
      <c r="F46" s="10" t="s">
        <v>114</v>
      </c>
      <c r="G46" s="10"/>
      <c r="H46" s="10"/>
      <c r="I46" s="10"/>
      <c r="J46" s="10" t="s">
        <v>196</v>
      </c>
      <c r="K46" s="10"/>
      <c r="L46" s="10"/>
      <c r="M46" s="10"/>
      <c r="N46" s="10"/>
      <c r="O46" s="10" t="s">
        <v>116</v>
      </c>
      <c r="P46" s="10" t="s">
        <v>319</v>
      </c>
    </row>
    <row r="47" spans="1:16" ht="51" x14ac:dyDescent="0.25">
      <c r="A47" s="10" t="s">
        <v>320</v>
      </c>
      <c r="B47" s="10" t="s">
        <v>321</v>
      </c>
      <c r="C47" s="10" t="s">
        <v>321</v>
      </c>
      <c r="D47" s="10" t="s">
        <v>204</v>
      </c>
      <c r="E47" s="10" t="s">
        <v>322</v>
      </c>
      <c r="F47" s="10" t="s">
        <v>114</v>
      </c>
      <c r="G47" s="10"/>
      <c r="H47" s="10"/>
      <c r="I47" s="10"/>
      <c r="J47" s="10" t="s">
        <v>115</v>
      </c>
      <c r="K47" s="10"/>
      <c r="L47" s="10"/>
      <c r="M47" s="10"/>
      <c r="N47" s="10"/>
      <c r="O47" s="10" t="s">
        <v>116</v>
      </c>
      <c r="P47" s="10" t="s">
        <v>323</v>
      </c>
    </row>
    <row r="48" spans="1:16" ht="51" x14ac:dyDescent="0.25">
      <c r="A48" s="10" t="s">
        <v>324</v>
      </c>
      <c r="B48" s="10" t="s">
        <v>325</v>
      </c>
      <c r="C48" s="10" t="s">
        <v>326</v>
      </c>
      <c r="D48" s="10" t="s">
        <v>204</v>
      </c>
      <c r="E48" s="10" t="s">
        <v>327</v>
      </c>
      <c r="F48" s="10" t="s">
        <v>114</v>
      </c>
      <c r="G48" s="10"/>
      <c r="H48" s="10"/>
      <c r="I48" s="10"/>
      <c r="J48" s="10" t="s">
        <v>263</v>
      </c>
      <c r="K48" s="10"/>
      <c r="L48" s="10"/>
      <c r="M48" s="10"/>
      <c r="N48" s="10"/>
      <c r="O48" s="10" t="s">
        <v>116</v>
      </c>
      <c r="P48" s="10" t="s">
        <v>328</v>
      </c>
    </row>
    <row r="49" spans="1:16" ht="51" x14ac:dyDescent="0.25">
      <c r="A49" s="10" t="s">
        <v>329</v>
      </c>
      <c r="B49" s="10" t="s">
        <v>330</v>
      </c>
      <c r="C49" s="10" t="s">
        <v>330</v>
      </c>
      <c r="D49" s="10" t="s">
        <v>204</v>
      </c>
      <c r="E49" s="10" t="s">
        <v>331</v>
      </c>
      <c r="F49" s="10" t="s">
        <v>114</v>
      </c>
      <c r="G49" s="10"/>
      <c r="H49" s="10"/>
      <c r="I49" s="10"/>
      <c r="J49" s="10" t="s">
        <v>115</v>
      </c>
      <c r="K49" s="10"/>
      <c r="L49" s="10"/>
      <c r="M49" s="10"/>
      <c r="N49" s="10"/>
      <c r="O49" s="10" t="s">
        <v>116</v>
      </c>
      <c r="P49" s="10" t="s">
        <v>332</v>
      </c>
    </row>
    <row r="50" spans="1:16" ht="63.75" x14ac:dyDescent="0.25">
      <c r="A50" s="10" t="s">
        <v>333</v>
      </c>
      <c r="B50" s="10" t="s">
        <v>334</v>
      </c>
      <c r="C50" s="10" t="s">
        <v>334</v>
      </c>
      <c r="D50" s="10" t="s">
        <v>204</v>
      </c>
      <c r="E50" s="10" t="s">
        <v>335</v>
      </c>
      <c r="F50" s="10" t="s">
        <v>114</v>
      </c>
      <c r="G50" s="10"/>
      <c r="H50" s="10"/>
      <c r="I50" s="10"/>
      <c r="J50" s="10" t="s">
        <v>115</v>
      </c>
      <c r="K50" s="10"/>
      <c r="L50" s="10"/>
      <c r="M50" s="10"/>
      <c r="N50" s="10"/>
      <c r="O50" s="10" t="s">
        <v>116</v>
      </c>
      <c r="P50" s="10" t="s">
        <v>336</v>
      </c>
    </row>
    <row r="51" spans="1:16" ht="63.75" x14ac:dyDescent="0.25">
      <c r="A51" s="10" t="s">
        <v>337</v>
      </c>
      <c r="B51" s="10" t="s">
        <v>338</v>
      </c>
      <c r="C51" s="10" t="s">
        <v>339</v>
      </c>
      <c r="D51" s="10" t="s">
        <v>36</v>
      </c>
      <c r="E51" s="10" t="s">
        <v>340</v>
      </c>
      <c r="F51" s="10" t="s">
        <v>114</v>
      </c>
      <c r="G51" s="10"/>
      <c r="H51" s="10"/>
      <c r="I51" s="10"/>
      <c r="J51" s="10" t="s">
        <v>341</v>
      </c>
      <c r="K51" s="10"/>
      <c r="L51" s="10"/>
      <c r="M51" s="10"/>
      <c r="N51" s="10"/>
      <c r="O51" s="10" t="s">
        <v>116</v>
      </c>
      <c r="P51" s="10" t="s">
        <v>342</v>
      </c>
    </row>
    <row r="52" spans="1:16" ht="63.75" x14ac:dyDescent="0.25">
      <c r="A52" s="10" t="s">
        <v>343</v>
      </c>
      <c r="B52" s="10" t="s">
        <v>344</v>
      </c>
      <c r="C52" s="10" t="s">
        <v>344</v>
      </c>
      <c r="D52" s="10" t="s">
        <v>345</v>
      </c>
      <c r="E52" s="10" t="s">
        <v>346</v>
      </c>
      <c r="F52" s="10" t="s">
        <v>114</v>
      </c>
      <c r="G52" s="10"/>
      <c r="H52" s="10"/>
      <c r="I52" s="10"/>
      <c r="J52" s="10" t="s">
        <v>347</v>
      </c>
      <c r="K52" s="10"/>
      <c r="L52" s="10"/>
      <c r="M52" s="10"/>
      <c r="N52" s="10"/>
      <c r="O52" s="10" t="s">
        <v>116</v>
      </c>
      <c r="P52" s="10" t="s">
        <v>348</v>
      </c>
    </row>
    <row r="53" spans="1:16" ht="51" x14ac:dyDescent="0.25">
      <c r="A53" s="10" t="s">
        <v>349</v>
      </c>
      <c r="B53" s="10" t="s">
        <v>350</v>
      </c>
      <c r="C53" s="10" t="s">
        <v>350</v>
      </c>
      <c r="D53" s="10" t="s">
        <v>204</v>
      </c>
      <c r="E53" s="10" t="s">
        <v>351</v>
      </c>
      <c r="F53" s="10" t="s">
        <v>114</v>
      </c>
      <c r="G53" s="10"/>
      <c r="H53" s="10"/>
      <c r="I53" s="10"/>
      <c r="J53" s="10" t="s">
        <v>352</v>
      </c>
      <c r="K53" s="10"/>
      <c r="L53" s="10"/>
      <c r="M53" s="10"/>
      <c r="N53" s="10"/>
      <c r="O53" s="10" t="s">
        <v>116</v>
      </c>
      <c r="P53" s="10" t="s">
        <v>353</v>
      </c>
    </row>
    <row r="54" spans="1:16" ht="63.75" x14ac:dyDescent="0.25">
      <c r="A54" s="10" t="s">
        <v>354</v>
      </c>
      <c r="B54" s="10" t="s">
        <v>355</v>
      </c>
      <c r="C54" s="10" t="s">
        <v>304</v>
      </c>
      <c r="D54" s="10" t="s">
        <v>204</v>
      </c>
      <c r="E54" s="10" t="s">
        <v>356</v>
      </c>
      <c r="F54" s="10" t="s">
        <v>114</v>
      </c>
      <c r="G54" s="10"/>
      <c r="H54" s="10"/>
      <c r="I54" s="10"/>
      <c r="J54" s="10" t="s">
        <v>357</v>
      </c>
      <c r="K54" s="10"/>
      <c r="L54" s="10"/>
      <c r="M54" s="10"/>
      <c r="N54" s="10"/>
      <c r="O54" s="10" t="s">
        <v>116</v>
      </c>
      <c r="P54" s="10" t="s">
        <v>358</v>
      </c>
    </row>
    <row r="55" spans="1:16" ht="51" x14ac:dyDescent="0.25">
      <c r="A55" s="10" t="s">
        <v>359</v>
      </c>
      <c r="B55" s="10" t="s">
        <v>360</v>
      </c>
      <c r="C55" s="10" t="s">
        <v>360</v>
      </c>
      <c r="D55" s="10" t="s">
        <v>189</v>
      </c>
      <c r="E55" s="10" t="s">
        <v>361</v>
      </c>
      <c r="F55" s="10" t="s">
        <v>114</v>
      </c>
      <c r="G55" s="10"/>
      <c r="H55" s="10"/>
      <c r="I55" s="10"/>
      <c r="J55" s="10" t="s">
        <v>362</v>
      </c>
      <c r="K55" s="10"/>
      <c r="L55" s="10"/>
      <c r="M55" s="10"/>
      <c r="N55" s="10"/>
      <c r="O55" s="10" t="s">
        <v>116</v>
      </c>
      <c r="P55" s="10" t="s">
        <v>363</v>
      </c>
    </row>
    <row r="56" spans="1:16" ht="51" x14ac:dyDescent="0.25">
      <c r="A56" s="10" t="s">
        <v>364</v>
      </c>
      <c r="B56" s="10" t="s">
        <v>365</v>
      </c>
      <c r="C56" s="10" t="s">
        <v>366</v>
      </c>
      <c r="D56" s="10" t="s">
        <v>204</v>
      </c>
      <c r="E56" s="10" t="s">
        <v>367</v>
      </c>
      <c r="F56" s="10" t="s">
        <v>114</v>
      </c>
      <c r="G56" s="10"/>
      <c r="H56" s="10"/>
      <c r="I56" s="10"/>
      <c r="J56" s="10" t="s">
        <v>352</v>
      </c>
      <c r="K56" s="10"/>
      <c r="L56" s="10"/>
      <c r="M56" s="10"/>
      <c r="N56" s="10"/>
      <c r="O56" s="10" t="s">
        <v>116</v>
      </c>
      <c r="P56" s="10" t="s">
        <v>368</v>
      </c>
    </row>
    <row r="57" spans="1:16" ht="51" x14ac:dyDescent="0.25">
      <c r="A57" s="10" t="s">
        <v>369</v>
      </c>
      <c r="B57" s="10" t="s">
        <v>370</v>
      </c>
      <c r="C57" s="10" t="s">
        <v>371</v>
      </c>
      <c r="D57" s="10" t="s">
        <v>204</v>
      </c>
      <c r="E57" s="10" t="s">
        <v>372</v>
      </c>
      <c r="F57" s="10" t="s">
        <v>114</v>
      </c>
      <c r="G57" s="10"/>
      <c r="H57" s="10"/>
      <c r="I57" s="10"/>
      <c r="J57" s="10" t="s">
        <v>352</v>
      </c>
      <c r="K57" s="10"/>
      <c r="L57" s="10"/>
      <c r="M57" s="10"/>
      <c r="N57" s="10"/>
      <c r="O57" s="10" t="s">
        <v>116</v>
      </c>
      <c r="P57" s="10" t="s">
        <v>373</v>
      </c>
    </row>
    <row r="58" spans="1:16" ht="51" x14ac:dyDescent="0.25">
      <c r="A58" s="10" t="s">
        <v>374</v>
      </c>
      <c r="B58" s="10" t="s">
        <v>375</v>
      </c>
      <c r="C58" s="10" t="s">
        <v>375</v>
      </c>
      <c r="D58" s="10" t="s">
        <v>112</v>
      </c>
      <c r="E58" s="10" t="s">
        <v>376</v>
      </c>
      <c r="F58" s="10" t="s">
        <v>114</v>
      </c>
      <c r="G58" s="10"/>
      <c r="H58" s="10"/>
      <c r="I58" s="10"/>
      <c r="J58" s="10" t="s">
        <v>377</v>
      </c>
      <c r="K58" s="10"/>
      <c r="L58" s="10"/>
      <c r="M58" s="10"/>
      <c r="N58" s="10"/>
      <c r="O58" s="10" t="s">
        <v>116</v>
      </c>
      <c r="P58" s="10" t="s">
        <v>378</v>
      </c>
    </row>
    <row r="59" spans="1:16" ht="51" x14ac:dyDescent="0.25">
      <c r="A59" s="10" t="s">
        <v>379</v>
      </c>
      <c r="B59" s="10" t="s">
        <v>380</v>
      </c>
      <c r="C59" s="10" t="s">
        <v>381</v>
      </c>
      <c r="D59" s="10" t="s">
        <v>204</v>
      </c>
      <c r="E59" s="10" t="s">
        <v>382</v>
      </c>
      <c r="F59" s="10" t="s">
        <v>114</v>
      </c>
      <c r="G59" s="10"/>
      <c r="H59" s="10"/>
      <c r="I59" s="10"/>
      <c r="J59" s="10" t="s">
        <v>383</v>
      </c>
      <c r="K59" s="10"/>
      <c r="L59" s="10"/>
      <c r="M59" s="10"/>
      <c r="N59" s="10"/>
      <c r="O59" s="10" t="s">
        <v>116</v>
      </c>
      <c r="P59" s="10" t="s">
        <v>384</v>
      </c>
    </row>
    <row r="60" spans="1:16" ht="51" x14ac:dyDescent="0.25">
      <c r="A60" s="10" t="s">
        <v>385</v>
      </c>
      <c r="B60" s="10" t="s">
        <v>386</v>
      </c>
      <c r="C60" s="10" t="s">
        <v>387</v>
      </c>
      <c r="D60" s="10" t="s">
        <v>204</v>
      </c>
      <c r="E60" s="10" t="s">
        <v>388</v>
      </c>
      <c r="F60" s="10" t="s">
        <v>114</v>
      </c>
      <c r="G60" s="10"/>
      <c r="H60" s="10"/>
      <c r="I60" s="10"/>
      <c r="J60" s="10" t="s">
        <v>383</v>
      </c>
      <c r="K60" s="10"/>
      <c r="L60" s="10"/>
      <c r="M60" s="10"/>
      <c r="N60" s="10"/>
      <c r="O60" s="10" t="s">
        <v>116</v>
      </c>
      <c r="P60" s="10" t="s">
        <v>389</v>
      </c>
    </row>
    <row r="61" spans="1:16" ht="51" x14ac:dyDescent="0.25">
      <c r="A61" s="10" t="s">
        <v>390</v>
      </c>
      <c r="B61" s="10" t="s">
        <v>391</v>
      </c>
      <c r="C61" s="10" t="s">
        <v>392</v>
      </c>
      <c r="D61" s="10" t="s">
        <v>112</v>
      </c>
      <c r="E61" s="10" t="s">
        <v>393</v>
      </c>
      <c r="F61" s="10" t="s">
        <v>114</v>
      </c>
      <c r="G61" s="10"/>
      <c r="H61" s="10"/>
      <c r="I61" s="10"/>
      <c r="J61" s="10" t="s">
        <v>158</v>
      </c>
      <c r="K61" s="10"/>
      <c r="L61" s="10"/>
      <c r="M61" s="10"/>
      <c r="N61" s="10"/>
      <c r="O61" s="10" t="s">
        <v>116</v>
      </c>
      <c r="P61" s="10" t="s">
        <v>394</v>
      </c>
    </row>
    <row r="62" spans="1:16" ht="51" x14ac:dyDescent="0.25">
      <c r="A62" s="10" t="s">
        <v>395</v>
      </c>
      <c r="B62" s="10" t="s">
        <v>396</v>
      </c>
      <c r="C62" s="10" t="s">
        <v>397</v>
      </c>
      <c r="D62" s="10" t="s">
        <v>112</v>
      </c>
      <c r="E62" s="10" t="s">
        <v>398</v>
      </c>
      <c r="F62" s="10" t="s">
        <v>114</v>
      </c>
      <c r="G62" s="10"/>
      <c r="H62" s="10"/>
      <c r="I62" s="10"/>
      <c r="J62" s="10" t="s">
        <v>399</v>
      </c>
      <c r="K62" s="10"/>
      <c r="L62" s="10"/>
      <c r="M62" s="10"/>
      <c r="N62" s="10"/>
      <c r="O62" s="10" t="s">
        <v>116</v>
      </c>
      <c r="P62" s="10" t="s">
        <v>400</v>
      </c>
    </row>
    <row r="63" spans="1:16" ht="51" x14ac:dyDescent="0.25">
      <c r="A63" s="10" t="s">
        <v>401</v>
      </c>
      <c r="B63" s="10" t="s">
        <v>402</v>
      </c>
      <c r="C63" s="10" t="s">
        <v>403</v>
      </c>
      <c r="D63" s="10" t="s">
        <v>112</v>
      </c>
      <c r="E63" s="10" t="s">
        <v>404</v>
      </c>
      <c r="F63" s="10" t="s">
        <v>114</v>
      </c>
      <c r="G63" s="10"/>
      <c r="H63" s="10"/>
      <c r="I63" s="10"/>
      <c r="J63" s="10" t="s">
        <v>405</v>
      </c>
      <c r="K63" s="10"/>
      <c r="L63" s="10"/>
      <c r="M63" s="10"/>
      <c r="N63" s="10"/>
      <c r="O63" s="10" t="s">
        <v>116</v>
      </c>
      <c r="P63" s="10" t="s">
        <v>406</v>
      </c>
    </row>
    <row r="64" spans="1:16" ht="51" x14ac:dyDescent="0.25">
      <c r="A64" s="10" t="s">
        <v>407</v>
      </c>
      <c r="B64" s="10" t="s">
        <v>408</v>
      </c>
      <c r="C64" s="10" t="s">
        <v>408</v>
      </c>
      <c r="D64" s="10" t="s">
        <v>36</v>
      </c>
      <c r="E64" s="10" t="s">
        <v>409</v>
      </c>
      <c r="F64" s="10" t="s">
        <v>114</v>
      </c>
      <c r="G64" s="10"/>
      <c r="H64" s="10"/>
      <c r="I64" s="10"/>
      <c r="J64" s="10" t="s">
        <v>410</v>
      </c>
      <c r="K64" s="10"/>
      <c r="L64" s="10"/>
      <c r="M64" s="10"/>
      <c r="N64" s="10"/>
      <c r="O64" s="10" t="s">
        <v>116</v>
      </c>
      <c r="P64" s="10" t="s">
        <v>411</v>
      </c>
    </row>
    <row r="65" spans="1:16" ht="51" x14ac:dyDescent="0.25">
      <c r="A65" s="10" t="s">
        <v>412</v>
      </c>
      <c r="B65" s="10" t="s">
        <v>413</v>
      </c>
      <c r="C65" s="10" t="s">
        <v>414</v>
      </c>
      <c r="D65" s="10" t="s">
        <v>112</v>
      </c>
      <c r="E65" s="10" t="s">
        <v>415</v>
      </c>
      <c r="F65" s="10" t="s">
        <v>114</v>
      </c>
      <c r="G65" s="10"/>
      <c r="H65" s="10"/>
      <c r="I65" s="10"/>
      <c r="J65" s="10" t="s">
        <v>405</v>
      </c>
      <c r="K65" s="10"/>
      <c r="L65" s="10"/>
      <c r="M65" s="10"/>
      <c r="N65" s="10"/>
      <c r="O65" s="10" t="s">
        <v>116</v>
      </c>
      <c r="P65" s="10" t="s">
        <v>416</v>
      </c>
    </row>
    <row r="66" spans="1:16" ht="51" x14ac:dyDescent="0.25">
      <c r="A66" s="10" t="s">
        <v>417</v>
      </c>
      <c r="B66" s="10" t="s">
        <v>418</v>
      </c>
      <c r="C66" s="10" t="s">
        <v>419</v>
      </c>
      <c r="D66" s="10" t="s">
        <v>112</v>
      </c>
      <c r="E66" s="10" t="s">
        <v>420</v>
      </c>
      <c r="F66" s="10" t="s">
        <v>114</v>
      </c>
      <c r="G66" s="10"/>
      <c r="H66" s="10"/>
      <c r="I66" s="10"/>
      <c r="J66" s="10" t="s">
        <v>124</v>
      </c>
      <c r="K66" s="10"/>
      <c r="L66" s="10"/>
      <c r="M66" s="10"/>
      <c r="N66" s="10"/>
      <c r="O66" s="10" t="s">
        <v>116</v>
      </c>
      <c r="P66" s="10" t="s">
        <v>421</v>
      </c>
    </row>
    <row r="67" spans="1:16" ht="51" x14ac:dyDescent="0.25">
      <c r="A67" s="10" t="s">
        <v>422</v>
      </c>
      <c r="B67" s="10" t="s">
        <v>423</v>
      </c>
      <c r="C67" s="10" t="s">
        <v>424</v>
      </c>
      <c r="D67" s="10" t="s">
        <v>189</v>
      </c>
      <c r="E67" s="10" t="s">
        <v>425</v>
      </c>
      <c r="F67" s="10" t="s">
        <v>114</v>
      </c>
      <c r="G67" s="10"/>
      <c r="H67" s="10"/>
      <c r="I67" s="10"/>
      <c r="J67" s="10" t="s">
        <v>124</v>
      </c>
      <c r="K67" s="10"/>
      <c r="L67" s="10"/>
      <c r="M67" s="10"/>
      <c r="N67" s="10"/>
      <c r="O67" s="10" t="s">
        <v>116</v>
      </c>
      <c r="P67" s="10" t="s">
        <v>426</v>
      </c>
    </row>
    <row r="68" spans="1:16" ht="63.75" x14ac:dyDescent="0.25">
      <c r="A68" s="10" t="s">
        <v>427</v>
      </c>
      <c r="B68" s="10" t="s">
        <v>428</v>
      </c>
      <c r="C68" s="10" t="s">
        <v>429</v>
      </c>
      <c r="D68" s="10" t="s">
        <v>112</v>
      </c>
      <c r="E68" s="10" t="s">
        <v>430</v>
      </c>
      <c r="F68" s="10" t="s">
        <v>114</v>
      </c>
      <c r="G68" s="10"/>
      <c r="H68" s="10"/>
      <c r="I68" s="10"/>
      <c r="J68" s="10" t="s">
        <v>431</v>
      </c>
      <c r="K68" s="10"/>
      <c r="L68" s="10"/>
      <c r="M68" s="10"/>
      <c r="N68" s="10"/>
      <c r="O68" s="10" t="s">
        <v>116</v>
      </c>
      <c r="P68" s="10" t="s">
        <v>432</v>
      </c>
    </row>
    <row r="69" spans="1:16" ht="51" x14ac:dyDescent="0.25">
      <c r="A69" s="10" t="s">
        <v>433</v>
      </c>
      <c r="B69" s="10" t="s">
        <v>434</v>
      </c>
      <c r="C69" s="10" t="s">
        <v>434</v>
      </c>
      <c r="D69" s="10" t="s">
        <v>435</v>
      </c>
      <c r="E69" s="10" t="s">
        <v>436</v>
      </c>
      <c r="F69" s="10" t="s">
        <v>114</v>
      </c>
      <c r="G69" s="10"/>
      <c r="H69" s="10"/>
      <c r="I69" s="10"/>
      <c r="J69" s="10" t="s">
        <v>115</v>
      </c>
      <c r="K69" s="10"/>
      <c r="L69" s="10"/>
      <c r="M69" s="10"/>
      <c r="N69" s="10"/>
      <c r="O69" s="10" t="s">
        <v>116</v>
      </c>
      <c r="P69" s="10" t="s">
        <v>437</v>
      </c>
    </row>
    <row r="70" spans="1:16" ht="51" x14ac:dyDescent="0.25">
      <c r="A70" s="10" t="s">
        <v>438</v>
      </c>
      <c r="B70" s="10" t="s">
        <v>439</v>
      </c>
      <c r="C70" s="10" t="s">
        <v>440</v>
      </c>
      <c r="D70" s="10" t="s">
        <v>435</v>
      </c>
      <c r="E70" s="10" t="s">
        <v>441</v>
      </c>
      <c r="F70" s="10" t="s">
        <v>114</v>
      </c>
      <c r="G70" s="10"/>
      <c r="H70" s="10"/>
      <c r="I70" s="10"/>
      <c r="J70" s="10" t="s">
        <v>115</v>
      </c>
      <c r="K70" s="10"/>
      <c r="L70" s="10"/>
      <c r="M70" s="10"/>
      <c r="N70" s="10"/>
      <c r="O70" s="10" t="s">
        <v>116</v>
      </c>
      <c r="P70" s="10" t="s">
        <v>442</v>
      </c>
    </row>
    <row r="71" spans="1:16" ht="51" x14ac:dyDescent="0.25">
      <c r="A71" s="10" t="s">
        <v>443</v>
      </c>
      <c r="B71" s="10" t="s">
        <v>444</v>
      </c>
      <c r="C71" s="10" t="s">
        <v>445</v>
      </c>
      <c r="D71" s="10" t="s">
        <v>435</v>
      </c>
      <c r="E71" s="10" t="s">
        <v>446</v>
      </c>
      <c r="F71" s="10" t="s">
        <v>114</v>
      </c>
      <c r="G71" s="10"/>
      <c r="H71" s="10"/>
      <c r="I71" s="10"/>
      <c r="J71" s="10" t="s">
        <v>115</v>
      </c>
      <c r="K71" s="10"/>
      <c r="L71" s="10"/>
      <c r="M71" s="10"/>
      <c r="N71" s="10"/>
      <c r="O71" s="10" t="s">
        <v>116</v>
      </c>
      <c r="P71" s="10" t="s">
        <v>447</v>
      </c>
    </row>
    <row r="72" spans="1:16" ht="51" x14ac:dyDescent="0.25">
      <c r="A72" s="10" t="s">
        <v>448</v>
      </c>
      <c r="B72" s="10" t="s">
        <v>449</v>
      </c>
      <c r="C72" s="10" t="s">
        <v>449</v>
      </c>
      <c r="D72" s="10" t="s">
        <v>435</v>
      </c>
      <c r="E72" s="10" t="s">
        <v>450</v>
      </c>
      <c r="F72" s="10" t="s">
        <v>114</v>
      </c>
      <c r="G72" s="10"/>
      <c r="H72" s="10"/>
      <c r="I72" s="10"/>
      <c r="J72" s="10" t="s">
        <v>115</v>
      </c>
      <c r="K72" s="10"/>
      <c r="L72" s="10"/>
      <c r="M72" s="10"/>
      <c r="N72" s="10"/>
      <c r="O72" s="10" t="s">
        <v>116</v>
      </c>
      <c r="P72" s="10" t="s">
        <v>451</v>
      </c>
    </row>
    <row r="73" spans="1:16" ht="51" x14ac:dyDescent="0.25">
      <c r="A73" s="10" t="s">
        <v>452</v>
      </c>
      <c r="B73" s="10" t="s">
        <v>453</v>
      </c>
      <c r="C73" s="10" t="s">
        <v>454</v>
      </c>
      <c r="D73" s="10" t="s">
        <v>435</v>
      </c>
      <c r="E73" s="10" t="s">
        <v>455</v>
      </c>
      <c r="F73" s="10" t="s">
        <v>114</v>
      </c>
      <c r="G73" s="10"/>
      <c r="H73" s="10"/>
      <c r="I73" s="10"/>
      <c r="J73" s="10" t="s">
        <v>115</v>
      </c>
      <c r="K73" s="10"/>
      <c r="L73" s="10"/>
      <c r="M73" s="10"/>
      <c r="N73" s="10"/>
      <c r="O73" s="10" t="s">
        <v>116</v>
      </c>
      <c r="P73" s="10" t="s">
        <v>456</v>
      </c>
    </row>
  </sheetData>
  <dataValidations count="6">
    <dataValidation type="list" allowBlank="1" error="Elijan una opción de la lista" sqref="D5:D73" xr:uid="{00000000-0002-0000-0100-000000000000}">
      <formula1>"Entidad pública,Academia u ONG,Plataforma colaborativa,Empresa privada,Medio de comunicación,No se sabe"</formula1>
    </dataValidation>
    <dataValidation type="list" allowBlank="1" error="Elijan una opción de la lista" sqref="F5:F73" xr:uid="{00000000-0002-0000-0100-000001000000}">
      <formula1>"CSV,JSON,XLSX,Parquet,GeoJSON,Shapefile,PDF,Página web,Otro"</formula1>
    </dataValidation>
    <dataValidation type="list" allowBlank="1" error="Elijan una opción de la lista" sqref="G5:G73" xr:uid="{00000000-0002-0000-0100-000002000000}">
      <formula1>"API sin llave,API con llave gratuita,Descarga directa,Solo PDF o página,Bloquea scripts o pide sesión"</formula1>
    </dataValidation>
    <dataValidation type="list" allowBlank="1" error="Elijan una opción de la lista" sqref="I5:I73" xr:uid="{00000000-0002-0000-0100-000003000000}">
      <formula1>"No,Solo conteos por zona,Personas identificables,Texto libre sin revisar"</formula1>
    </dataValidation>
    <dataValidation type="list" allowBlank="1" error="Elijan una opción de la lista" sqref="L5:L73" xr:uid="{00000000-0002-0000-0100-000004000000}">
      <formula1>"Tiempo real,Diaria,Mensual,Trimestral,Anual,Única vez,No se sabe"</formula1>
    </dataValidation>
    <dataValidation type="list" allowBlank="1" error="Elijan una opción de la lista" sqref="N5:N73" xr:uid="{00000000-0002-0000-0100-000005000000}">
      <formula1>"Integrada al lago,Candidata,No responde,No existe (la inventó la IA),Descartada"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3" sqref="A3:M3"/>
    </sheetView>
  </sheetViews>
  <sheetFormatPr defaultColWidth="8.85546875" defaultRowHeight="15" x14ac:dyDescent="0.25"/>
  <cols>
    <col min="1" max="1" width="9" customWidth="1"/>
    <col min="2" max="2" width="20" customWidth="1"/>
    <col min="3" max="3" width="22" customWidth="1"/>
    <col min="4" max="4" width="20" customWidth="1"/>
    <col min="5" max="5" width="36" customWidth="1"/>
    <col min="6" max="6" width="12" customWidth="1"/>
    <col min="7" max="7" width="16" customWidth="1"/>
    <col min="8" max="8" width="14" customWidth="1"/>
    <col min="9" max="9" width="11" customWidth="1"/>
    <col min="10" max="10" width="22" customWidth="1"/>
    <col min="11" max="11" width="16" customWidth="1"/>
    <col min="12" max="12" width="28" customWidth="1"/>
    <col min="13" max="13" width="32" customWidth="1"/>
  </cols>
  <sheetData>
    <row r="1" spans="1:13" ht="18" x14ac:dyDescent="0.25">
      <c r="A1" s="6" t="s">
        <v>49</v>
      </c>
    </row>
    <row r="2" spans="1:13" x14ac:dyDescent="0.25">
      <c r="A2" s="7" t="s">
        <v>50</v>
      </c>
    </row>
    <row r="3" spans="1:13" ht="42" customHeight="1" x14ac:dyDescent="0.25">
      <c r="A3" s="8" t="s">
        <v>17</v>
      </c>
      <c r="B3" s="8" t="s">
        <v>51</v>
      </c>
      <c r="C3" s="8" t="s">
        <v>52</v>
      </c>
      <c r="D3" s="8" t="s">
        <v>53</v>
      </c>
      <c r="E3" s="8" t="s">
        <v>54</v>
      </c>
      <c r="F3" s="8" t="s">
        <v>55</v>
      </c>
      <c r="G3" s="8" t="s">
        <v>56</v>
      </c>
      <c r="H3" s="8" t="s">
        <v>57</v>
      </c>
      <c r="I3" s="8" t="s">
        <v>58</v>
      </c>
      <c r="J3" s="8" t="s">
        <v>59</v>
      </c>
      <c r="K3" s="8" t="s">
        <v>60</v>
      </c>
      <c r="L3" s="8" t="s">
        <v>61</v>
      </c>
      <c r="M3" s="8" t="s">
        <v>62</v>
      </c>
    </row>
    <row r="4" spans="1:13" ht="36" x14ac:dyDescent="0.25">
      <c r="A4" s="9" t="s">
        <v>33</v>
      </c>
      <c r="B4" s="9" t="s">
        <v>63</v>
      </c>
      <c r="C4" s="9" t="s">
        <v>64</v>
      </c>
      <c r="D4" s="9" t="s">
        <v>65</v>
      </c>
      <c r="E4" s="9" t="s">
        <v>66</v>
      </c>
      <c r="F4" s="9" t="s">
        <v>67</v>
      </c>
      <c r="G4" s="9" t="s">
        <v>68</v>
      </c>
      <c r="H4" s="9" t="s">
        <v>69</v>
      </c>
      <c r="I4" s="9" t="s">
        <v>41</v>
      </c>
      <c r="J4" s="9" t="s">
        <v>70</v>
      </c>
      <c r="K4" s="9" t="s">
        <v>71</v>
      </c>
      <c r="L4" s="9" t="s">
        <v>72</v>
      </c>
      <c r="M4" s="9" t="s">
        <v>73</v>
      </c>
    </row>
    <row r="5" spans="1:13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</sheetData>
  <dataValidations count="3">
    <dataValidation type="list" allowBlank="1" error="Elijan una opción de la lista" sqref="F5:F44" xr:uid="{00000000-0002-0000-0200-000000000000}">
      <formula1>"Texto,Entero,Decimal,Fecha,Booleano,Código,Coordenada / geometría"</formula1>
    </dataValidation>
    <dataValidation type="list" allowBlank="1" error="Elijan una opción de la lista" sqref="I5:I44" xr:uid="{00000000-0002-0000-0200-000001000000}">
      <formula1>"Sí,No"</formula1>
    </dataValidation>
    <dataValidation type="list" allowBlank="1" error="Elijan una opción de la lista" sqref="K5:K44" xr:uid="{00000000-0002-0000-0200-000002000000}">
      <formula1>"Pública,Interna,Sensible,Dato personal"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8.85546875" defaultRowHeight="15" x14ac:dyDescent="0.25"/>
  <cols>
    <col min="1" max="1" width="5" customWidth="1"/>
    <col min="2" max="2" width="16" customWidth="1"/>
    <col min="3" max="4" width="36" customWidth="1"/>
    <col min="5" max="5" width="30" customWidth="1"/>
    <col min="6" max="6" width="16" customWidth="1"/>
    <col min="7" max="7" width="12" customWidth="1"/>
    <col min="8" max="8" width="30" customWidth="1"/>
  </cols>
  <sheetData>
    <row r="1" spans="1:8" ht="18" x14ac:dyDescent="0.25">
      <c r="A1" s="6" t="s">
        <v>74</v>
      </c>
    </row>
    <row r="2" spans="1:8" x14ac:dyDescent="0.25">
      <c r="A2" s="7" t="s">
        <v>75</v>
      </c>
    </row>
    <row r="3" spans="1:8" ht="42" customHeight="1" x14ac:dyDescent="0.25">
      <c r="A3" s="8" t="s">
        <v>76</v>
      </c>
      <c r="B3" s="8" t="s">
        <v>77</v>
      </c>
      <c r="C3" s="8" t="s">
        <v>78</v>
      </c>
      <c r="D3" s="8" t="s">
        <v>79</v>
      </c>
      <c r="E3" s="8" t="s">
        <v>80</v>
      </c>
      <c r="F3" s="8" t="s">
        <v>81</v>
      </c>
      <c r="G3" s="8" t="s">
        <v>82</v>
      </c>
      <c r="H3" s="8" t="s">
        <v>83</v>
      </c>
    </row>
    <row r="4" spans="1:8" ht="48" x14ac:dyDescent="0.25">
      <c r="A4" s="9" t="s">
        <v>84</v>
      </c>
      <c r="B4" s="9" t="s">
        <v>85</v>
      </c>
      <c r="C4" s="9" t="s">
        <v>86</v>
      </c>
      <c r="D4" s="9" t="s">
        <v>87</v>
      </c>
      <c r="E4" s="9" t="s">
        <v>88</v>
      </c>
      <c r="F4" s="9" t="s">
        <v>89</v>
      </c>
      <c r="G4" s="9" t="s">
        <v>33</v>
      </c>
      <c r="H4" s="9" t="s">
        <v>90</v>
      </c>
    </row>
    <row r="5" spans="1:8" x14ac:dyDescent="0.25">
      <c r="A5" s="10"/>
      <c r="B5" s="10"/>
      <c r="C5" s="10"/>
      <c r="D5" s="10"/>
      <c r="E5" s="10"/>
      <c r="F5" s="10"/>
      <c r="G5" s="10"/>
      <c r="H5" s="10"/>
    </row>
    <row r="6" spans="1:8" x14ac:dyDescent="0.25">
      <c r="A6" s="10"/>
      <c r="B6" s="10"/>
      <c r="C6" s="10"/>
      <c r="D6" s="10"/>
      <c r="E6" s="10"/>
      <c r="F6" s="10"/>
      <c r="G6" s="10"/>
      <c r="H6" s="10"/>
    </row>
    <row r="7" spans="1:8" x14ac:dyDescent="0.25">
      <c r="A7" s="10"/>
      <c r="B7" s="10"/>
      <c r="C7" s="10"/>
      <c r="D7" s="10"/>
      <c r="E7" s="10"/>
      <c r="F7" s="10"/>
      <c r="G7" s="10"/>
      <c r="H7" s="10"/>
    </row>
    <row r="8" spans="1:8" x14ac:dyDescent="0.25">
      <c r="A8" s="10"/>
      <c r="B8" s="10"/>
      <c r="C8" s="10"/>
      <c r="D8" s="10"/>
      <c r="E8" s="10"/>
      <c r="F8" s="10"/>
      <c r="G8" s="10"/>
      <c r="H8" s="10"/>
    </row>
    <row r="9" spans="1:8" x14ac:dyDescent="0.25">
      <c r="A9" s="10"/>
      <c r="B9" s="10"/>
      <c r="C9" s="10"/>
      <c r="D9" s="10"/>
      <c r="E9" s="10"/>
      <c r="F9" s="10"/>
      <c r="G9" s="10"/>
      <c r="H9" s="10"/>
    </row>
    <row r="10" spans="1:8" x14ac:dyDescent="0.25">
      <c r="A10" s="10"/>
      <c r="B10" s="10"/>
      <c r="C10" s="10"/>
      <c r="D10" s="10"/>
      <c r="E10" s="10"/>
      <c r="F10" s="10"/>
      <c r="G10" s="10"/>
      <c r="H10" s="10"/>
    </row>
    <row r="11" spans="1:8" x14ac:dyDescent="0.25">
      <c r="A11" s="10"/>
      <c r="B11" s="10"/>
      <c r="C11" s="10"/>
      <c r="D11" s="10"/>
      <c r="E11" s="10"/>
      <c r="F11" s="10"/>
      <c r="G11" s="10"/>
      <c r="H11" s="10"/>
    </row>
    <row r="12" spans="1:8" x14ac:dyDescent="0.25">
      <c r="A12" s="10"/>
      <c r="B12" s="10"/>
      <c r="C12" s="10"/>
      <c r="D12" s="10"/>
      <c r="E12" s="10"/>
      <c r="F12" s="10"/>
      <c r="G12" s="10"/>
      <c r="H12" s="10"/>
    </row>
    <row r="13" spans="1:8" x14ac:dyDescent="0.25">
      <c r="A13" s="10"/>
      <c r="B13" s="10"/>
      <c r="C13" s="10"/>
      <c r="D13" s="10"/>
      <c r="E13" s="10"/>
      <c r="F13" s="10"/>
      <c r="G13" s="10"/>
      <c r="H13" s="10"/>
    </row>
    <row r="14" spans="1:8" x14ac:dyDescent="0.25">
      <c r="A14" s="10"/>
      <c r="B14" s="10"/>
      <c r="C14" s="10"/>
      <c r="D14" s="10"/>
      <c r="E14" s="10"/>
      <c r="F14" s="10"/>
      <c r="G14" s="10"/>
      <c r="H14" s="10"/>
    </row>
    <row r="15" spans="1:8" x14ac:dyDescent="0.25">
      <c r="A15" s="10"/>
      <c r="B15" s="10"/>
      <c r="C15" s="10"/>
      <c r="D15" s="10"/>
      <c r="E15" s="10"/>
      <c r="F15" s="10"/>
      <c r="G15" s="10"/>
      <c r="H15" s="10"/>
    </row>
    <row r="16" spans="1:8" x14ac:dyDescent="0.25">
      <c r="A16" s="10"/>
      <c r="B16" s="10"/>
      <c r="C16" s="10"/>
      <c r="D16" s="10"/>
      <c r="E16" s="10"/>
      <c r="F16" s="10"/>
      <c r="G16" s="10"/>
      <c r="H16" s="10"/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8" spans="1:8" x14ac:dyDescent="0.25">
      <c r="A18" s="10"/>
      <c r="B18" s="10"/>
      <c r="C18" s="10"/>
      <c r="D18" s="10"/>
      <c r="E18" s="10"/>
      <c r="F18" s="10"/>
      <c r="G18" s="10"/>
      <c r="H18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10"/>
      <c r="B20" s="10"/>
      <c r="C20" s="10"/>
      <c r="D20" s="10"/>
      <c r="E20" s="10"/>
      <c r="F20" s="10"/>
      <c r="G20" s="10"/>
      <c r="H20" s="10"/>
    </row>
    <row r="21" spans="1:8" x14ac:dyDescent="0.25">
      <c r="A21" s="10"/>
      <c r="B21" s="10"/>
      <c r="C21" s="10"/>
      <c r="D21" s="10"/>
      <c r="E21" s="10"/>
      <c r="F21" s="10"/>
      <c r="G21" s="10"/>
      <c r="H21" s="10"/>
    </row>
    <row r="22" spans="1:8" x14ac:dyDescent="0.25">
      <c r="A22" s="10"/>
      <c r="B22" s="10"/>
      <c r="C22" s="10"/>
      <c r="D22" s="10"/>
      <c r="E22" s="10"/>
      <c r="F22" s="10"/>
      <c r="G22" s="10"/>
      <c r="H22" s="10"/>
    </row>
    <row r="23" spans="1:8" x14ac:dyDescent="0.25">
      <c r="A23" s="10"/>
      <c r="B23" s="10"/>
      <c r="C23" s="10"/>
      <c r="D23" s="10"/>
      <c r="E23" s="10"/>
      <c r="F23" s="10"/>
      <c r="G23" s="10"/>
      <c r="H23" s="10"/>
    </row>
    <row r="24" spans="1:8" x14ac:dyDescent="0.25">
      <c r="A24" s="10"/>
      <c r="B24" s="10"/>
      <c r="C24" s="10"/>
      <c r="D24" s="10"/>
      <c r="E24" s="10"/>
      <c r="F24" s="10"/>
      <c r="G24" s="10"/>
      <c r="H24" s="10"/>
    </row>
    <row r="25" spans="1:8" x14ac:dyDescent="0.25">
      <c r="A25" s="10"/>
      <c r="B25" s="10"/>
      <c r="C25" s="10"/>
      <c r="D25" s="10"/>
      <c r="E25" s="10"/>
      <c r="F25" s="10"/>
      <c r="G25" s="10"/>
      <c r="H25" s="10"/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x14ac:dyDescent="0.25">
      <c r="A30" s="10"/>
      <c r="B30" s="10"/>
      <c r="C30" s="10"/>
      <c r="D30" s="10"/>
      <c r="E30" s="10"/>
      <c r="F30" s="10"/>
      <c r="G30" s="10"/>
      <c r="H30" s="10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10"/>
      <c r="B35" s="10"/>
      <c r="C35" s="10"/>
      <c r="D35" s="10"/>
      <c r="E35" s="10"/>
      <c r="F35" s="10"/>
      <c r="G35" s="10"/>
      <c r="H35" s="10"/>
    </row>
    <row r="36" spans="1:8" x14ac:dyDescent="0.25">
      <c r="A36" s="10"/>
      <c r="B36" s="10"/>
      <c r="C36" s="10"/>
      <c r="D36" s="10"/>
      <c r="E36" s="10"/>
      <c r="F36" s="10"/>
      <c r="G36" s="10"/>
      <c r="H36" s="10"/>
    </row>
    <row r="37" spans="1:8" x14ac:dyDescent="0.25">
      <c r="A37" s="10"/>
      <c r="B37" s="10"/>
      <c r="C37" s="10"/>
      <c r="D37" s="10"/>
      <c r="E37" s="10"/>
      <c r="F37" s="10"/>
      <c r="G37" s="10"/>
      <c r="H37" s="10"/>
    </row>
    <row r="38" spans="1:8" x14ac:dyDescent="0.25">
      <c r="A38" s="10"/>
      <c r="B38" s="10"/>
      <c r="C38" s="10"/>
      <c r="D38" s="10"/>
      <c r="E38" s="10"/>
      <c r="F38" s="10"/>
      <c r="G38" s="10"/>
      <c r="H38" s="10"/>
    </row>
    <row r="39" spans="1:8" x14ac:dyDescent="0.25">
      <c r="A39" s="10"/>
      <c r="B39" s="10"/>
      <c r="C39" s="10"/>
      <c r="D39" s="10"/>
      <c r="E39" s="10"/>
      <c r="F39" s="10"/>
      <c r="G39" s="10"/>
      <c r="H39" s="10"/>
    </row>
    <row r="40" spans="1:8" x14ac:dyDescent="0.25">
      <c r="A40" s="10"/>
      <c r="B40" s="10"/>
      <c r="C40" s="10"/>
      <c r="D40" s="10"/>
      <c r="E40" s="10"/>
      <c r="F40" s="10"/>
      <c r="G40" s="10"/>
      <c r="H40" s="10"/>
    </row>
    <row r="41" spans="1:8" x14ac:dyDescent="0.25">
      <c r="A41" s="10"/>
      <c r="B41" s="10"/>
      <c r="C41" s="10"/>
      <c r="D41" s="10"/>
      <c r="E41" s="10"/>
      <c r="F41" s="10"/>
      <c r="G41" s="10"/>
      <c r="H41" s="10"/>
    </row>
    <row r="42" spans="1:8" x14ac:dyDescent="0.25">
      <c r="A42" s="10"/>
      <c r="B42" s="10"/>
      <c r="C42" s="10"/>
      <c r="D42" s="10"/>
      <c r="E42" s="10"/>
      <c r="F42" s="10"/>
      <c r="G42" s="10"/>
      <c r="H42" s="10"/>
    </row>
    <row r="43" spans="1:8" x14ac:dyDescent="0.25">
      <c r="A43" s="10"/>
      <c r="B43" s="10"/>
      <c r="C43" s="10"/>
      <c r="D43" s="10"/>
      <c r="E43" s="10"/>
      <c r="F43" s="10"/>
      <c r="G43" s="10"/>
      <c r="H43" s="10"/>
    </row>
    <row r="44" spans="1:8" x14ac:dyDescent="0.25">
      <c r="A44" s="10"/>
      <c r="B44" s="10"/>
      <c r="C44" s="10"/>
      <c r="D44" s="10"/>
      <c r="E44" s="10"/>
      <c r="F44" s="10"/>
      <c r="G44" s="10"/>
      <c r="H44" s="10"/>
    </row>
  </sheetData>
  <dataValidations count="1">
    <dataValidation type="list" allowBlank="1" error="Elijan una opción de la lista" sqref="F5:F44" xr:uid="{00000000-0002-0000-0300-000000000000}">
      <formula1>"Correcto,Parcial,Incorrecto,Inventado"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defaultColWidth="8.85546875" defaultRowHeight="15" x14ac:dyDescent="0.25"/>
  <cols>
    <col min="1" max="1" width="48" customWidth="1"/>
    <col min="2" max="2" width="14" customWidth="1"/>
  </cols>
  <sheetData>
    <row r="1" spans="1:2" ht="18" x14ac:dyDescent="0.25">
      <c r="A1" s="6" t="s">
        <v>91</v>
      </c>
    </row>
    <row r="2" spans="1:2" x14ac:dyDescent="0.25">
      <c r="A2" s="7" t="s">
        <v>92</v>
      </c>
    </row>
    <row r="4" spans="1:2" x14ac:dyDescent="0.25">
      <c r="A4" s="11" t="s">
        <v>93</v>
      </c>
      <c r="B4" s="12">
        <f>COUNTA('1. Fuentes'!A5:A44)</f>
        <v>40</v>
      </c>
    </row>
    <row r="5" spans="1:2" x14ac:dyDescent="0.25">
      <c r="A5" s="13" t="s">
        <v>94</v>
      </c>
      <c r="B5" s="12">
        <f>COUNTIF('1. Fuentes'!N5:N44,"Integrada al lago")</f>
        <v>0</v>
      </c>
    </row>
    <row r="6" spans="1:2" x14ac:dyDescent="0.25">
      <c r="A6" s="13" t="s">
        <v>95</v>
      </c>
      <c r="B6" s="12">
        <f>COUNTIF('1. Fuentes'!N5:N44,"Candidata")</f>
        <v>0</v>
      </c>
    </row>
    <row r="7" spans="1:2" x14ac:dyDescent="0.25">
      <c r="A7" s="13" t="s">
        <v>96</v>
      </c>
      <c r="B7" s="12">
        <f>COUNTIF('1. Fuentes'!N5:N44,"No responde")</f>
        <v>0</v>
      </c>
    </row>
    <row r="8" spans="1:2" x14ac:dyDescent="0.25">
      <c r="A8" s="13" t="s">
        <v>97</v>
      </c>
      <c r="B8" s="12">
        <f>COUNTIF('1. Fuentes'!N5:N44,"No existe (la inventó la IA)")</f>
        <v>0</v>
      </c>
    </row>
    <row r="9" spans="1:2" x14ac:dyDescent="0.25">
      <c r="A9" s="13" t="s">
        <v>98</v>
      </c>
      <c r="B9" s="12">
        <f>COUNTIF('1. Fuentes'!N5:N44,"Descartada")</f>
        <v>0</v>
      </c>
    </row>
    <row r="10" spans="1:2" x14ac:dyDescent="0.25">
      <c r="A10" s="11" t="s">
        <v>99</v>
      </c>
      <c r="B10" s="12">
        <f>COUNTIF('1. Fuentes'!H5:H44,"no declara")+COUNTIFS('1. Fuentes'!A5:A44,"&lt;&gt;",'1. Fuentes'!H5:H44,"")</f>
        <v>40</v>
      </c>
    </row>
    <row r="11" spans="1:2" x14ac:dyDescent="0.25">
      <c r="A11" s="11" t="s">
        <v>100</v>
      </c>
      <c r="B11" s="12">
        <f>COUNTIF('1. Fuentes'!I5:I44,"Personas identificables")+COUNTIF('1. Fuentes'!I5:I44,"Texto libre sin revisar")</f>
        <v>0</v>
      </c>
    </row>
    <row r="12" spans="1:2" x14ac:dyDescent="0.25">
      <c r="A12" s="11" t="s">
        <v>101</v>
      </c>
      <c r="B12" s="12">
        <f>COUNTA('2. Diccionario'!C5:C44)</f>
        <v>0</v>
      </c>
    </row>
    <row r="13" spans="1:2" x14ac:dyDescent="0.25">
      <c r="A13" s="13" t="s">
        <v>102</v>
      </c>
      <c r="B13" s="12">
        <f>COUNTIF('2. Diccionario'!K5:K44,"Sensible")+COUNTIF('2. Diccionario'!K5:K44,"Dato personal")</f>
        <v>0</v>
      </c>
    </row>
    <row r="14" spans="1:2" x14ac:dyDescent="0.25">
      <c r="A14" s="13" t="s">
        <v>103</v>
      </c>
      <c r="B14" s="12">
        <f>COUNTIFS('2. Diccionario'!C5:C44,"&lt;&gt;",'2. Diccionario'!M5:M44,"")</f>
        <v>0</v>
      </c>
    </row>
    <row r="15" spans="1:2" x14ac:dyDescent="0.25">
      <c r="A15" s="11" t="s">
        <v>104</v>
      </c>
      <c r="B15" s="12">
        <f>COUNTA('3. Bitácora IA'!C5:C44)</f>
        <v>0</v>
      </c>
    </row>
    <row r="16" spans="1:2" x14ac:dyDescent="0.25">
      <c r="A16" s="13" t="s">
        <v>105</v>
      </c>
      <c r="B16" s="12">
        <f>COUNTIF('3. Bitácora IA'!F5:F44,"Incorrecto")+COUNTIF('3. Bitácora IA'!F5:F44,"Inventado")</f>
        <v>0</v>
      </c>
    </row>
    <row r="17" spans="1:2" x14ac:dyDescent="0.25">
      <c r="A17" s="11" t="s">
        <v>106</v>
      </c>
      <c r="B17" s="14" t="str">
        <f>IF(B15=0,"-",COUNTIF('3. Bitácora IA'!F5:F44,"Correcto")/B15)</f>
        <v>-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1. Fuentes</vt:lpstr>
      <vt:lpstr>2. Diccionario</vt:lpstr>
      <vt:lpstr>3. Bitácora IA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Saldarriaga Valencia</cp:lastModifiedBy>
  <dcterms:created xsi:type="dcterms:W3CDTF">2026-09-28T11:22:59Z</dcterms:created>
  <dcterms:modified xsi:type="dcterms:W3CDTF">2026-10-02T17:40:31Z</dcterms:modified>
</cp:coreProperties>
</file>