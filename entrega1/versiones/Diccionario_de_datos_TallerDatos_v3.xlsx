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1. Fuentes" sheetId="2" state="visible" r:id="rId4"/>
    <sheet name="2. Diccionario" sheetId="3" state="visible" r:id="rId5"/>
    <sheet name="3. Bitácora IA" sheetId="4" state="visible" r:id="rId6"/>
    <sheet name="Resume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<sst xmlns="http://schemas.openxmlformats.org/spreadsheetml/2006/main" count="1769" uniqueCount="814">
  <si>
    <t xml:space="preserve">Taller de datos · Entrega 1 · El lago y su diccionario</t>
  </si>
  <si>
    <t xml:space="preserve">Tópicos de Sistemas de Información · Profesor Santiago Jiménez Londoño · topicos-si.vercel.app/Tallerdatos</t>
  </si>
  <si>
    <t xml:space="preserve">Datos del grupo</t>
  </si>
  <si>
    <t xml:space="preserve">Ciudad elegida: Orlando</t>
  </si>
  <si>
    <t xml:space="preserve">Integrantes: Juan Esteban Alzate, Nicolás Saldarriaga, Mateo Villada</t>
  </si>
  <si>
    <t xml:space="preserve">Enlace al repositorio o a la carpeta del lago: https://github.com/NSaldarriagaV/Cerebro-Orlando </t>
  </si>
  <si>
    <t xml:space="preserve">Qué entregan en este archivo</t>
  </si>
  <si>
    <t xml:space="preserve">1. Fuentes · una fila por cada fuente que encontraron en el rastreo, entre o no al lago. Las descartadas también cuentan: explican las decisiones.</t>
  </si>
  <si>
    <t xml:space="preserve">2. Diccionario · una fila por cada campo (columna o clave del JSON) que quedó en el lago. Si un campo no está aquí, no existe.</t>
  </si>
  <si>
    <t xml:space="preserve">3. Bitácora IA · qué le encargaron a la IA durante la búsqueda, qué respondió y cómo lo comprobaron.</t>
  </si>
  <si>
    <t xml:space="preserve">Resumen · se llena solo con fórmulas. No lo editen.</t>
  </si>
  <si>
    <t xml:space="preserve">Cómo llenarlo</t>
  </si>
  <si>
    <t xml:space="preserve">• Escriban solo en las celdas amarillas. La fila gris de cada hoja es un ejemplo (Medellín): pueden borrarla o dejarla, el resumen no la cuenta.</t>
  </si>
  <si>
    <t xml:space="preserve">• El ID de fuente (F01, F02…) une las tres hojas: úsenlo igual en Fuentes, Diccionario y Bitácora IA.</t>
  </si>
  <si>
    <t xml:space="preserve">• Las columnas con lista desplegable solo aceptan esas opciones.</t>
  </si>
  <si>
    <t xml:space="preserve">• La licencia se copia tal como aparece en la fuente. Si la fuente no dice nada, escriban «no declara»: no la supongan.</t>
  </si>
  <si>
    <t xml:space="preserve">• «Fecha en que la probaron» es el día en que la descarga o la API respondió de verdad, no el día en que la IA la mencionó.</t>
  </si>
  <si>
    <t xml:space="preserve">• Una fuente que la IA nombró y que ustedes no pudieron abrir va igual en Fuentes, con estado «No responde» o «No existe».</t>
  </si>
  <si>
    <t xml:space="preserve">Colores añadidos en esta versión</t>
  </si>
  <si>
    <t xml:space="preserve">• Celda naranja = valor que la IA puso de memoria y nadie ha comprobado. Se abre la fuente, se corrige si hace falta y se pinta de amarillo.</t>
  </si>
  <si>
    <t xml:space="preserve">• La hoja Fuentes se amplió a 70 filas (hasta la fila 74) y el Resumen cuenta hasta ahí. «Fecha en que la probaron» solo se llenó donde una API o una descarga entregó datos de verdad (F01, F14, F41, F42, F57, F58 y F70); un 200 con página HTML no cuenta.</t>
  </si>
  <si>
    <t xml:space="preserve">• «Fecha en que la probaron»: se usó el criterio de la página del taller («el día en que abrieron el enlace y respondió»; lo que no responde también se anota, con el error exacto en Observaciones). Si el profesor la quiere solo para descargas o APIs reales, ese filtro se hace con la nota de Observaciones de cada fila.</t>
  </si>
  <si>
    <t xml:space="preserve">• Entidad y licencia salen de una lista cerrada (el taller advierte que el catálogo de Lima escribió la licencia de 34 maneras). Antes de agregar una fila nueva, usen el nombre que ya existe.</t>
  </si>
  <si>
    <t xml:space="preserve">1. Catálogo de fuentes</t>
  </si>
  <si>
    <t xml:space="preserve">Una fila por fuente encontrada. Escriban en las celdas amarillas; la fila gris es un ejemplo.</t>
  </si>
  <si>
    <t xml:space="preserve">ID fuente</t>
  </si>
  <si>
    <t xml:space="preserve">Nombre del conjunto de datos</t>
  </si>
  <si>
    <t xml:space="preserve">Entidad que lo publica</t>
  </si>
  <si>
    <t xml:space="preserve">Tipo de publicador</t>
  </si>
  <si>
    <t xml:space="preserve">URL exacta (descarga o API)</t>
  </si>
  <si>
    <t xml:space="preserve">Formato</t>
  </si>
  <si>
    <t xml:space="preserve">Cómo se obtiene</t>
  </si>
  <si>
    <t xml:space="preserve">Licencia (tal como aparece)</t>
  </si>
  <si>
    <t xml:space="preserve">¿Trae datos de personas?</t>
  </si>
  <si>
    <t xml:space="preserve">Cobertura geográfica</t>
  </si>
  <si>
    <t xml:space="preserve">Periodo que cubre</t>
  </si>
  <si>
    <t xml:space="preserve">Frecuencia de actualización</t>
  </si>
  <si>
    <t xml:space="preserve">Fecha en que la probaron (AAAA-MM-DD)</t>
  </si>
  <si>
    <t xml:space="preserve">Estado</t>
  </si>
  <si>
    <t xml:space="preserve">Cómo la encontraron (IA o búsqueda)</t>
  </si>
  <si>
    <t xml:space="preserve">Observaciones</t>
  </si>
  <si>
    <t xml:space="preserve">F01</t>
  </si>
  <si>
    <t xml:space="preserve">Vistas mensuales del artículo «Medellín» en Wikipedia</t>
  </si>
  <si>
    <t xml:space="preserve">Wikimedia Foundation</t>
  </si>
  <si>
    <t xml:space="preserve">Plataforma colaborativa</t>
  </si>
  <si>
    <t xml:space="preserve">https://wikimedia.org/api/rest_v1/metrics/pageviews/per-article/es.wikipedia/all-access/user/Medellín/monthly/20250101/20260831</t>
  </si>
  <si>
    <t xml:space="preserve">JSON</t>
  </si>
  <si>
    <t xml:space="preserve">API sin llave</t>
  </si>
  <si>
    <t xml:space="preserve">CC0</t>
  </si>
  <si>
    <t xml:space="preserve">No</t>
  </si>
  <si>
    <t xml:space="preserve">Ciudad (artículo)</t>
  </si>
  <si>
    <t xml:space="preserve">2025-01 a 2026-08</t>
  </si>
  <si>
    <t xml:space="preserve">Mensual</t>
  </si>
  <si>
    <t xml:space="preserve">2026-09-14</t>
  </si>
  <si>
    <t xml:space="preserve">Integrada al lago</t>
  </si>
  <si>
    <t xml:space="preserve">Se la pedimos a la IA como «fuente de interés público sobre la ciudad»; la probamos con curl</t>
  </si>
  <si>
    <t xml:space="preserve">Cuenta personas, no bots (agente «user»).</t>
  </si>
  <si>
    <t xml:space="preserve">Datasets abiertos de Orlando (incidentes policiales, permisos, code enforcement, 311)</t>
  </si>
  <si>
    <t xml:space="preserve">Ciudad de Orlando</t>
  </si>
  <si>
    <t xml:space="preserve">Entidad pública</t>
  </si>
  <si>
    <t xml:space="preserve">https://data.cityoforlando.net</t>
  </si>
  <si>
    <t xml:space="preserve">CSV</t>
  </si>
  <si>
    <t xml:space="preserve">Texto libre sin revisar</t>
  </si>
  <si>
    <t xml:space="preserve">Por verificar en la fuente</t>
  </si>
  <si>
    <t xml:space="preserve">No se sabe</t>
  </si>
  <si>
    <t xml:space="preserve">2026-10-06</t>
  </si>
  <si>
    <t xml:space="preserve">Candidata</t>
  </si>
  <si>
    <t xml:space="preserve">Listado del docx «Fuentes de información sobre Orlando» (29-sep-2026), fuente #1; confirmar si salió de IA o de búsqueda</t>
  </si>
  <si>
    <t xml:space="preserve">Prioridad alta. Cada dataset tiene su ficha y su licencia: copiarla de cada ficha. Falta el ID del dataset para la URL exacta. Incidentes y 311 traen direcciones y descripciones libres. Prueba 2026-10-05 (script del grupo): HTTP 200 pero devolvió una página HTML, no una descarga ni una API; falta probar el endpoint exacto. Prueba de endpoint 2026-10-05 (script del grupo): la API del catálogo respondió con JSON (p. ej. el dataset «Permit Applications», id ryhf-m453). Falta bajar el catálogo completo, elegir datasets y leer la licencia de cada uno en el campo metadata.license. Repetida 2026-10-06: mismo resultado. Los 27 datasets del portal quedaron como F79 a F105.</t>
  </si>
  <si>
    <t xml:space="preserve">F02</t>
  </si>
  <si>
    <t xml:space="preserve">Sitio de la Ciudad de Orlando (presupuesto, departamentos, proyectos)</t>
  </si>
  <si>
    <t xml:space="preserve">https://www.orlando.gov</t>
  </si>
  <si>
    <t xml:space="preserve">Página web</t>
  </si>
  <si>
    <t xml:space="preserve">Solo PDF o página</t>
  </si>
  <si>
    <t xml:space="preserve">Listado del docx «Fuentes de información sobre Orlando» (29-sep-2026), fuente #2; confirmar si salió de IA o de búsqueda</t>
  </si>
  <si>
    <t xml:space="preserve">Prioridad baja. Documentos y noticias, no datos tabulares; el presupuesto suele venir en PDF. Prueba 2026-10-05 (script del grupo): HTTP 200 pero devolvió una página HTML, no una descarga ni una API; falta probar el endpoint exacto. Repetida 2026-10-06: mismo resultado.</t>
  </si>
  <si>
    <t xml:space="preserve">F03</t>
  </si>
  <si>
    <t xml:space="preserve">Sitio del condado de Orange (planeación, zonificación, reportes)</t>
  </si>
  <si>
    <t xml:space="preserve">Orange County Government</t>
  </si>
  <si>
    <t xml:space="preserve">https://www.orangecountyfl.net</t>
  </si>
  <si>
    <t xml:space="preserve">Condado de Orange</t>
  </si>
  <si>
    <t xml:space="preserve">Listado del docx «Fuentes de información sobre Orlando» (29-sep-2026), fuente #3; confirmar si salió de IA o de búsqueda</t>
  </si>
  <si>
    <t xml:space="preserve">Prioridad media. Buscar si el condado tiene un portal GIS/datos abiertos aparte, con descargas. Prueba 2026-10-05 (script del grupo): HTTP 200 pero devolvió una página HTML, no una descarga ni una API; falta probar el endpoint exacto. Repetida 2026-10-06: mismo resultado.</t>
  </si>
  <si>
    <t xml:space="preserve">F04</t>
  </si>
  <si>
    <t xml:space="preserve">Valor catastral, ventas históricas y parcelas</t>
  </si>
  <si>
    <t xml:space="preserve">Orange County Property Appraiser</t>
  </si>
  <si>
    <t xml:space="preserve">https://www.ocpafl.org</t>
  </si>
  <si>
    <t xml:space="preserve">Otro</t>
  </si>
  <si>
    <t xml:space="preserve">Descarga directa</t>
  </si>
  <si>
    <t xml:space="preserve">Personas identificables</t>
  </si>
  <si>
    <t xml:space="preserve">Anual</t>
  </si>
  <si>
    <t xml:space="preserve">No responde</t>
  </si>
  <si>
    <t xml:space="preserve">Listado del docx «Fuentes de información sobre Orlando» (29-sep-2026), fuente #4; confirmar si salió de IA o de búsqueda</t>
  </si>
  <si>
    <t xml:space="preserve">Prioridad media. Trae nombres de propietarios (dato personal). Confirmar si hay descarga masiva o solo consulta predio a predio. Prueba 2026-10-05 (script del grupo): el dominio no se resolvió (error de DNS). Abrirla en el navegador, probar sin «www» y desde otra red antes de darla por caída. Repetida 2026-10-06: sigue sin resolver el dominio (dos días seguidos; el código de error cambió de 11001 a 11002, fallo temporal de resolución). Probarla en el navegador y desde otra red.</t>
  </si>
  <si>
    <t xml:space="preserve">F05</t>
  </si>
  <si>
    <t xml:space="preserve">Registros oficiales (escrituras, hipotecas) y finanzas del condado</t>
  </si>
  <si>
    <t xml:space="preserve">Orange County Comptroller</t>
  </si>
  <si>
    <t xml:space="preserve">https://www.occompt.com</t>
  </si>
  <si>
    <t xml:space="preserve">Listado del docx «Fuentes de información sobre Orlando» (29-sep-2026), fuente #5; confirmar si salió de IA o de búsqueda</t>
  </si>
  <si>
    <t xml:space="preserve">Prioridad baja. Registros con nombres de personas; probablemente solo consulta web. Prueba 2026-10-05 (script del grupo): el dominio no se resolvió (error de DNS). Abrirla en el navegador, probar sin «www» y desde otra red antes de darla por caída. Repetida 2026-10-06: sigue sin resolver el dominio (dos días seguidos; el código de error cambió de 11001 a 11002, fallo temporal de resolución). Probarla en el navegador y desde otra red.</t>
  </si>
  <si>
    <t xml:space="preserve">F06</t>
  </si>
  <si>
    <t xml:space="preserve">Resultados electorales y votantes registrados por distrito</t>
  </si>
  <si>
    <t xml:space="preserve">Supervisor of Elections Orange County</t>
  </si>
  <si>
    <t xml:space="preserve">https://www.ocfelections.gov</t>
  </si>
  <si>
    <t xml:space="preserve">Solo conteos por zona</t>
  </si>
  <si>
    <t xml:space="preserve">Condado de Orange (por distrito)</t>
  </si>
  <si>
    <t xml:space="preserve">Listado del docx «Fuentes de información sobre Orlando» (29-sep-2026), fuente #6; confirmar si salió de IA o de búsqueda</t>
  </si>
  <si>
    <t xml:space="preserve">Prioridad baja. Los resultados agregados sirven; el padrón individual es dato personal y no debe entrar. Prueba 2026-10-05 (script del grupo): HTTP 200 pero devolvió una página HTML, no una descarga ni una API; falta probar el endpoint exacto. Repetida 2026-10-06: mismo resultado.</t>
  </si>
  <si>
    <t xml:space="preserve">F07</t>
  </si>
  <si>
    <t xml:space="preserve">Empresas registradas en Florida (dueños y estado legal)</t>
  </si>
  <si>
    <t xml:space="preserve">Florida Division of Corporations (Sunbiz)</t>
  </si>
  <si>
    <t xml:space="preserve">https://dos.fl.gov/sunbiz/</t>
  </si>
  <si>
    <t xml:space="preserve">Estado de Florida (filtrar Orlando)</t>
  </si>
  <si>
    <t xml:space="preserve">Diaria</t>
  </si>
  <si>
    <t xml:space="preserve">Listado del docx «Fuentes de información sobre Orlando» (29-sep-2026), fuente #7; confirmar si salió de IA o de búsqueda</t>
  </si>
  <si>
    <t xml:space="preserve">Prioridad media. Trae nombres de directivos y agentes registrados. Revisar si ofrece archivos masivos en texto plano. Prueba 2026-10-05 (script del grupo): HTTP 403, el servidor rechazó al script. Esto es de la página principal: no prueba nada sobre la API o la descarga, que pueden estar en otro dominio. Repetida 2026-10-06: mismo resultado.</t>
  </si>
  <si>
    <t xml:space="preserve">F08</t>
  </si>
  <si>
    <t xml:space="preserve">Licencias de restaurantes, contratistas y alquileres vacacionales</t>
  </si>
  <si>
    <t xml:space="preserve">Florida DBPR (MyFloridaLicense)</t>
  </si>
  <si>
    <t xml:space="preserve">https://www.myfloridalicense.com</t>
  </si>
  <si>
    <t xml:space="preserve">Listado del docx «Fuentes de información sobre Orlando» (29-sep-2026), fuente #8; confirmar si salió de IA o de búsqueda</t>
  </si>
  <si>
    <t xml:space="preserve">Prioridad media. Revisar descargas por tipo de licencia; incluyen nombres de titulares. Prueba 2026-10-05 (script del grupo): HTTP 403, el servidor rechazó al script. Esto es de la página principal: no prueba nada sobre la API o la descarga, que pueden estar en otro dominio. Repetida 2026-10-06: mismo resultado.</t>
  </si>
  <si>
    <t xml:space="preserve">F09</t>
  </si>
  <si>
    <t xml:space="preserve">Planeación de transporte regional, conteos y estudios de movilidad</t>
  </si>
  <si>
    <t xml:space="preserve">MetroPlan Orlando</t>
  </si>
  <si>
    <t xml:space="preserve">https://metroplanorlando.gov</t>
  </si>
  <si>
    <t xml:space="preserve">Región de Orlando (3 condados)</t>
  </si>
  <si>
    <t xml:space="preserve">Listado del docx «Fuentes de información sobre Orlando» (29-sep-2026), fuente #9; confirmar si salió de IA o de búsqueda</t>
  </si>
  <si>
    <t xml:space="preserve">Prioridad baja. Sobre todo informes; buscar si publica datos de conteos. Prueba 2026-10-05 (script del grupo): HTTP 200 pero devolvió una página HTML, no una descarga ni una API; falta probar el endpoint exacto. Repetida 2026-10-06: mismo resultado.</t>
  </si>
  <si>
    <t xml:space="preserve">F10</t>
  </si>
  <si>
    <t xml:space="preserve">Estudios regionales de desarrollo, vivienda y resiliencia</t>
  </si>
  <si>
    <t xml:space="preserve">East Central Florida Regional Planning Council</t>
  </si>
  <si>
    <t xml:space="preserve">https://www.ecfrpc.org</t>
  </si>
  <si>
    <t xml:space="preserve">PDF</t>
  </si>
  <si>
    <t xml:space="preserve">Centro-este de Florida</t>
  </si>
  <si>
    <t xml:space="preserve">Listado del docx «Fuentes de información sobre Orlando» (29-sep-2026), fuente #10; confirmar si salió de IA o de búsqueda</t>
  </si>
  <si>
    <t xml:space="preserve">Prioridad baja. Informes en PDF. Prueba 2026-10-05 (script del grupo): HTTP 200 pero devolvió una página HTML, no una descarga ni una API; falta probar el endpoint exacto. Repetida 2026-10-06: mismo resultado.</t>
  </si>
  <si>
    <t xml:space="preserve">F11</t>
  </si>
  <si>
    <t xml:space="preserve">Población, ingresos, edad, vivienda y educación (resumen)</t>
  </si>
  <si>
    <t xml:space="preserve">US Census Bureau</t>
  </si>
  <si>
    <t xml:space="preserve">https://www.census.gov/quickfacts/orlandocityflorida</t>
  </si>
  <si>
    <t xml:space="preserve">Dominio público (obra del gobierno de EE. UU.)</t>
  </si>
  <si>
    <t xml:space="preserve">Listado del docx «Fuentes de información sobre Orlando» (29-sep-2026), fuente #11; confirmar si salió de IA o de búsqueda</t>
  </si>
  <si>
    <t xml:space="preserve">Prioridad media. Es un resumen; para datos finos usar F12. Prueba 2026-10-05 (script del grupo): HTTP 403, el servidor rechazó al script. Esto es de la página principal: no prueba nada sobre la API o la descarga, que pueden estar en otro dominio. Repetida 2026-10-06: mismo resultado.</t>
  </si>
  <si>
    <t xml:space="preserve">F12</t>
  </si>
  <si>
    <t xml:space="preserve">American Community Survey (tablas por tract y block group)</t>
  </si>
  <si>
    <t xml:space="preserve">https://data.census.gov</t>
  </si>
  <si>
    <t xml:space="preserve">API con llave gratuita</t>
  </si>
  <si>
    <t xml:space="preserve">Tract / block group de Orlando</t>
  </si>
  <si>
    <t xml:space="preserve">ACS 5 años, ediciones desde ~2009 (verificar la última)</t>
  </si>
  <si>
    <t xml:space="preserve">Listado del docx «Fuentes de información sobre Orlando» (29-sep-2026), fuente #12; confirmar si salió de IA o de búsqueda</t>
  </si>
  <si>
    <t xml:space="preserve">Prioridad alta. API en api.census.gov (sin llave con tope diario; llave gratuita para más). La API pide un aviso de que el Census no avala el uso. Prueba 2026-10-05 (script del grupo): HTTP 403, el servidor rechazó al script. Esto es de la página principal: no prueba nada sobre la API o la descarga, que pueden estar en otro dominio. Prueba de endpoint 2026-10-05 (script del grupo): la consulta ACS respondió HTTP 200 pero con una página HTML «Missing Key»: la API pide llave (gratuita, se solicita en api.census.gov/data/key_signup.html). Repetir con la llave. No se pone fecha porque no entregó datos. Repetida 2026-10-06: mismo resultado.</t>
  </si>
  <si>
    <t xml:space="preserve">F13</t>
  </si>
  <si>
    <t xml:space="preserve">Desempleo, empleo por sector y salarios (MSA de Orlando)</t>
  </si>
  <si>
    <t xml:space="preserve">US Bureau of Labor Statistics</t>
  </si>
  <si>
    <t xml:space="preserve">https://www.bls.gov/eag/eag.fl_orlando_msa.htm</t>
  </si>
  <si>
    <t xml:space="preserve">Área metropolitana de Orlando</t>
  </si>
  <si>
    <t xml:space="preserve">Series mensuales desde ~1990 (verificar por serie)</t>
  </si>
  <si>
    <t xml:space="preserve">Listado del docx «Fuentes de información sobre Orlando» (29-sep-2026), fuente #13; confirmar si salió de IA o de búsqueda</t>
  </si>
  <si>
    <t xml:space="preserve">Prioridad alta. La URL del docx es una página; los datos vienen por la API de BLS (llave gratuita) o por descargas. Prueba 2026-10-05 (script del grupo): HTTP 403, el servidor rechazó al script. Esto es de la página principal: no prueba nada sobre la API o la descarga, que pueden estar en otro dominio. Repetida 2026-10-06: mismo resultado.</t>
  </si>
  <si>
    <t xml:space="preserve">F14</t>
  </si>
  <si>
    <t xml:space="preserve">Series de tiempo de Orlando (PIB metro, precios de vivienda, empleo)</t>
  </si>
  <si>
    <t xml:space="preserve">Federal Reserve Bank of St. Louis (FRED)</t>
  </si>
  <si>
    <t xml:space="preserve">Academia u ONG</t>
  </si>
  <si>
    <t xml:space="preserve">https://fred.stlouisfed.org</t>
  </si>
  <si>
    <t xml:space="preserve">Desde 1978-04 (serie ATNHPIUS36740Q); fin por verificar</t>
  </si>
  <si>
    <t xml:space="preserve">Trimestral</t>
  </si>
  <si>
    <t xml:space="preserve">Listado del docx «Fuentes de información sobre Orlando» (29-sep-2026), fuente #14; confirmar si salió de IA o de búsqueda</t>
  </si>
  <si>
    <t xml:space="preserve">Prioridad alta. La licencia varía por serie (cada una trae su copyright/fuente original); anotarla serie por serie. Hay también CSV directo por serie sin llave. Prueba 2026-10-05 (script del grupo): HTTP 200 pero devolvió una página HTML, no una descarga ni una API; falta probar el endpoint exacto. Prueba de endpoint 2026-10-05 (script del grupo): el CSV directo de la serie ATNHPIUS36740Q (índice de precios de vivienda, área de Orlando) se descargó sin llave; la primera fila de datos es 1978-04-01 y es trimestral. Los datos de la serie son una sola de las que cubre esta fuente. Falta leer la licencia en la página de la serie. Repetida 2026-10-06: mismo resultado.</t>
  </si>
  <si>
    <t xml:space="preserve">F15</t>
  </si>
  <si>
    <t xml:space="preserve">Estadísticas laborales estatales y por condado</t>
  </si>
  <si>
    <t xml:space="preserve">FloridaCommerce</t>
  </si>
  <si>
    <t xml:space="preserve">https://floridajobs.org</t>
  </si>
  <si>
    <t xml:space="preserve">XLSX</t>
  </si>
  <si>
    <t xml:space="preserve">Condado de Orange / MSA Orlando</t>
  </si>
  <si>
    <t xml:space="preserve">Listado del docx «Fuentes de información sobre Orlando» (29-sep-2026), fuente #15; confirmar si salió de IA o de búsqueda</t>
  </si>
  <si>
    <t xml:space="preserve">Prioridad media. Buscar las tablas de mercado laboral (LMI) descargables. Prueba 2026-10-05 (script del grupo): HTTP 403, el servidor rechazó al script. Esto es de la página principal: no prueba nada sobre la API o la descarga, que pueden estar en otro dominio. Repetida 2026-10-06: mismo resultado.</t>
  </si>
  <si>
    <t xml:space="preserve">F16</t>
  </si>
  <si>
    <t xml:space="preserve">Perfil económico, industrias clave y datos para inversionistas</t>
  </si>
  <si>
    <t xml:space="preserve">Orlando Economic Partnership</t>
  </si>
  <si>
    <t xml:space="preserve">https://orlando.org</t>
  </si>
  <si>
    <t xml:space="preserve">Región de Orlando</t>
  </si>
  <si>
    <t xml:space="preserve">Listado del docx «Fuentes de información sobre Orlando» (29-sep-2026), fuente #16; confirmar si salió de IA o de búsqueda</t>
  </si>
  <si>
    <t xml:space="preserve">Prioridad baja. Promoción económica; datos en PDF o páginas. Prueba 2026-10-05 (script del grupo): HTTP 200 pero devolvió una página HTML, no una descarga ni una API; falta probar el endpoint exacto. Repetida 2026-10-06: mismo resultado.</t>
  </si>
  <si>
    <t xml:space="preserve">F17</t>
  </si>
  <si>
    <t xml:space="preserve">Rentas justas de mercado (FMR) por número de habitaciones</t>
  </si>
  <si>
    <t xml:space="preserve">US Department of Housing and Urban Development (HUD)</t>
  </si>
  <si>
    <t xml:space="preserve">https://www.huduser.gov/portal/datasets/fmr.html</t>
  </si>
  <si>
    <t xml:space="preserve">Área metropolitana / condado</t>
  </si>
  <si>
    <t xml:space="preserve">Por año fiscal (verificar rango histórico)</t>
  </si>
  <si>
    <t xml:space="preserve">Listado del docx «Fuentes de información sobre Orlando» (29-sep-2026), fuente #17; confirmar si salió de IA o de búsqueda</t>
  </si>
  <si>
    <t xml:space="preserve">Prioridad media. HUD publica los FMR hacia octubre; verificar si ya salió el año fiscal 2027. Prueba 2026-10-05 (script del grupo): HTTP 202 con página HTML (aceptó la solicitud, no entregó datos); falta probar el endpoint exacto. Repetida 2026-10-06: mismo resultado.</t>
  </si>
  <si>
    <t xml:space="preserve">F18</t>
  </si>
  <si>
    <t xml:space="preserve">Costo de vida, precios de comida y transporte, índice de crimen percibido</t>
  </si>
  <si>
    <t xml:space="preserve">Numbeo</t>
  </si>
  <si>
    <t xml:space="preserve">https://www.numbeo.com/cost-of-living/in/Orlando</t>
  </si>
  <si>
    <t xml:space="preserve">Listado del docx «Fuentes de información sobre Orlando» (29-sep-2026), fuente #18; confirmar si salió de IA o de búsqueda</t>
  </si>
  <si>
    <t xml:space="preserve">Sugerida descartar. Datos aportados por usuarios; la API es de pago y revisar si prohíben extraer la web. Prueba 2026-10-05 (script del grupo): HTTP 200 pero devolvió una página HTML, no una descarga ni una API; falta probar el endpoint exacto. Repetida 2026-10-06: mismo resultado.</t>
  </si>
  <si>
    <t xml:space="preserve">F19</t>
  </si>
  <si>
    <t xml:space="preserve">Vacantes activas y salarios por cargo</t>
  </si>
  <si>
    <t xml:space="preserve">Indeed</t>
  </si>
  <si>
    <t xml:space="preserve">Empresa privada</t>
  </si>
  <si>
    <t xml:space="preserve">https://www.indeed.com/jobs?l=Orlando%2C+FL</t>
  </si>
  <si>
    <t xml:space="preserve">Bloquea scripts o pide sesión</t>
  </si>
  <si>
    <t xml:space="preserve">Vacantes vigentes</t>
  </si>
  <si>
    <t xml:space="preserve">Tiempo real</t>
  </si>
  <si>
    <t xml:space="preserve">Listado del docx «Fuentes de información sobre Orlando» (29-sep-2026), fuente #19; confirmar si salió de IA o de búsqueda</t>
  </si>
  <si>
    <t xml:space="preserve">Sugerida descartar: sin API pública y con términos que limitan el scraping. Alternativa con licencia clara: F70. Prueba 2026-10-05 (script del grupo): HTTP 403, el servidor rechazó al script. Esto es de la página principal: no prueba nada sobre la API o la descarga, que pueden estar en otro dominio. Repetida 2026-10-06: mismo resultado.</t>
  </si>
  <si>
    <t xml:space="preserve">F20</t>
  </si>
  <si>
    <t xml:space="preserve">Salarios reportados y reseñas de empleadores</t>
  </si>
  <si>
    <t xml:space="preserve">Glassdoor</t>
  </si>
  <si>
    <t xml:space="preserve">https://www.glassdoor.com</t>
  </si>
  <si>
    <t xml:space="preserve">Filtrable por Orlando</t>
  </si>
  <si>
    <t xml:space="preserve">Listado del docx «Fuentes de información sobre Orlando» (29-sep-2026), fuente #20; confirmar si salió de IA o de búsqueda</t>
  </si>
  <si>
    <t xml:space="preserve">Sugerida descartar: sin API pública, requiere sesión y las reseñas son texto libre de personas. Prueba 2026-10-05 (script del grupo): HTTP 200 pero devolvió una página HTML, no una descarga ni una API; falta probar el endpoint exacto. Repetida 2026-10-06: mismo resultado.</t>
  </si>
  <si>
    <t xml:space="preserve">F21</t>
  </si>
  <si>
    <t xml:space="preserve">Rutas, horarios, GTFS y pasajeros de buses</t>
  </si>
  <si>
    <t xml:space="preserve">LYNX (Central Florida Regional Transportation Authority)</t>
  </si>
  <si>
    <t xml:space="preserve">https://www.golynx.com</t>
  </si>
  <si>
    <t xml:space="preserve">Orange, Seminole y Osceola</t>
  </si>
  <si>
    <t xml:space="preserve">Feed GTFS vigente (verificar si hay histórico)</t>
  </si>
  <si>
    <t xml:space="preserve">Listado del docx «Fuentes de información sobre Orlando» (29-sep-2026), fuente #21; confirmar si salió de IA o de búsqueda</t>
  </si>
  <si>
    <t xml:space="preserve">Prioridad alta. GTFS es un ZIP de TXT. Buscar la sección para desarrolladores y copiar sus términos de uso. Prueba 2026-10-05 (script del grupo): HTTP 200 pero devolvió una página HTML, no una descarga ni una API; falta probar el endpoint exacto. Repetida 2026-10-06: mismo resultado.</t>
  </si>
  <si>
    <t xml:space="preserve">F22</t>
  </si>
  <si>
    <t xml:space="preserve">Estaciones, horarios y pasajeros de SunRail</t>
  </si>
  <si>
    <t xml:space="preserve">Florida Department of Transportation (FDOT)</t>
  </si>
  <si>
    <t xml:space="preserve">https://sunrail.com</t>
  </si>
  <si>
    <t xml:space="preserve">Corredor SunRail</t>
  </si>
  <si>
    <t xml:space="preserve">Listado del docx «Fuentes de información sobre Orlando» (29-sep-2026), fuente #22; confirmar si salió de IA o de búsqueda</t>
  </si>
  <si>
    <t xml:space="preserve">Prioridad baja. Revisar si publica GTFS o cifras de pasajeros descargables. Prueba 2026-10-05 (script del grupo): HTTP 200 pero devolvió una página HTML, no una descarga ni una API; falta probar el endpoint exacto. Repetida 2026-10-06: mismo resultado.</t>
  </si>
  <si>
    <t xml:space="preserve">F23</t>
  </si>
  <si>
    <t xml:space="preserve">Estadísticas mensuales de pasajeros y aerolíneas del MCO</t>
  </si>
  <si>
    <t xml:space="preserve">Greater Orlando Aviation Authority</t>
  </si>
  <si>
    <t xml:space="preserve">https://www.orlandoairports.net</t>
  </si>
  <si>
    <t xml:space="preserve">Aeropuerto MCO</t>
  </si>
  <si>
    <t xml:space="preserve">Listado del docx «Fuentes de información sobre Orlando» (29-sep-2026), fuente #23; confirmar si salió de IA o de búsqueda</t>
  </si>
  <si>
    <t xml:space="preserve">Prioridad media. Las estadísticas suelen publicarse como PDF mensual. Prueba 2026-10-05 (script del grupo): HTTP 200 pero devolvió una página HTML, no una descarga ni una API; falta probar el endpoint exacto. Repetida 2026-10-06: mismo resultado.</t>
  </si>
  <si>
    <t xml:space="preserve">F24</t>
  </si>
  <si>
    <t xml:space="preserve">Vuelos en tiempo real, retrasos e histórico del MCO</t>
  </si>
  <si>
    <t xml:space="preserve">FlightAware</t>
  </si>
  <si>
    <t xml:space="preserve">https://www.flightaware.com/live/airport/KMCO</t>
  </si>
  <si>
    <t xml:space="preserve">Tiempo real + histórico de pago</t>
  </si>
  <si>
    <t xml:space="preserve">Listado del docx «Fuentes de información sobre Orlando» (29-sep-2026), fuente #24; confirmar si salió de IA o de búsqueda</t>
  </si>
  <si>
    <t xml:space="preserve">Sugerida descartar: su API es de pago y la web no se puede extraer. Prueba 2026-10-05 (script del grupo): HTTP 200 pero devolvió una página HTML, no una descarga ni una API; falta probar el endpoint exacto. Repetida 2026-10-06: mismo resultado.</t>
  </si>
  <si>
    <t xml:space="preserve">F25</t>
  </si>
  <si>
    <t xml:space="preserve">Conteos de tráfico (AADT) por vía</t>
  </si>
  <si>
    <t xml:space="preserve">https://tdaappsprod.dot.state.fl.us/fto/</t>
  </si>
  <si>
    <t xml:space="preserve">Vías de Florida (filtrar Orlando)</t>
  </si>
  <si>
    <t xml:space="preserve">Conteos anuales (verificar años disponibles)</t>
  </si>
  <si>
    <t xml:space="preserve">Listado del docx «Fuentes de información sobre Orlando» (29-sep-2026), fuente #25; confirmar si salió de IA o de búsqueda</t>
  </si>
  <si>
    <t xml:space="preserve">Prioridad alta. Buscar también la capa AADT en el portal GIS de FDOT, que suele descargarse como Shapefile. Prueba 2026-10-05 (script del grupo): HTTP 200 pero devolvió una página HTML, no una descarga ni una API; falta probar el endpoint exacto. Repetida 2026-10-06: mismo resultado.</t>
  </si>
  <si>
    <t xml:space="preserve">F26</t>
  </si>
  <si>
    <t xml:space="preserve">Tráfico en vivo, accidentes, cierres y cámaras</t>
  </si>
  <si>
    <t xml:space="preserve">https://fl511.com</t>
  </si>
  <si>
    <t xml:space="preserve">Florida (filtrar Orlando)</t>
  </si>
  <si>
    <t xml:space="preserve">Tiempo real (sin histórico)</t>
  </si>
  <si>
    <t xml:space="preserve">Listado del docx «Fuentes de información sobre Orlando» (29-sep-2026), fuente #26; confirmar si salió de IA o de búsqueda</t>
  </si>
  <si>
    <t xml:space="preserve">Prioridad media. Verificar el registro de desarrollador y sus límites de uso; las cámaras son imágenes, no datos tabulares. Prueba 2026-10-05 (script del grupo): HTTP 200 pero devolvió una página HTML, no una descarga ni una API; falta probar el endpoint exacto. Repetida 2026-10-06: mismo resultado.</t>
  </si>
  <si>
    <t xml:space="preserve">F27</t>
  </si>
  <si>
    <t xml:space="preserve">Autopistas de peaje, tráfico y proyectos viales</t>
  </si>
  <si>
    <t xml:space="preserve">Central Florida Expressway Authority</t>
  </si>
  <si>
    <t xml:space="preserve">https://www.cfxway.com</t>
  </si>
  <si>
    <t xml:space="preserve">Red CFX (Orlando)</t>
  </si>
  <si>
    <t xml:space="preserve">Listado del docx «Fuentes de información sobre Orlando» (29-sep-2026), fuente #27; confirmar si salió de IA o de búsqueda</t>
  </si>
  <si>
    <t xml:space="preserve">Prioridad baja. Prueba 2026-10-05 (script del grupo): HTTP 200 pero devolvió una página HTML, no una descarga ni una API; falta probar el endpoint exacto. Repetida 2026-10-06: mismo resultado.</t>
  </si>
  <si>
    <t xml:space="preserve">F28</t>
  </si>
  <si>
    <t xml:space="preserve">Congestión e incidentes en tiempo real</t>
  </si>
  <si>
    <t xml:space="preserve">Google</t>
  </si>
  <si>
    <t xml:space="preserve">https://www.waze.com/live-map</t>
  </si>
  <si>
    <t xml:space="preserve">Orlando</t>
  </si>
  <si>
    <t xml:space="preserve">Listado del docx «Fuentes de información sobre Orlando» (29-sep-2026), fuente #28; confirmar si salió de IA o de búsqueda</t>
  </si>
  <si>
    <t xml:space="preserve">Sugerida descartar: no hay API pública; los datos van por convenio con gobiernos. Prueba 2026-10-05 (script del grupo): HTTP 200 pero devolvió una página HTML, no una descarga ni una API; falta probar el endpoint exacto. Repetida 2026-10-06: mismo resultado.</t>
  </si>
  <si>
    <t xml:space="preserve">F29</t>
  </si>
  <si>
    <t xml:space="preserve">Precios de gasolina por estación</t>
  </si>
  <si>
    <t xml:space="preserve">GasBuddy</t>
  </si>
  <si>
    <t xml:space="preserve">https://www.gasbuddy.com/gasprices/florida/orlando</t>
  </si>
  <si>
    <t xml:space="preserve">Precios vigentes</t>
  </si>
  <si>
    <t xml:space="preserve">Listado del docx «Fuentes de información sobre Orlando» (29-sep-2026), fuente #29; confirmar si salió de IA o de búsqueda</t>
  </si>
  <si>
    <t xml:space="preserve">Sugerida descartar: sin API pública y con términos que limitan la extracción. Prueba 2026-10-05 (script del grupo): HTTP 403, el servidor rechazó al script. Esto es de la página principal: no prueba nada sobre la API o la descarga, que pueden estar en otro dominio. Repetida 2026-10-06: mismo resultado.</t>
  </si>
  <si>
    <t xml:space="preserve">F30</t>
  </si>
  <si>
    <t xml:space="preserve">Caminabilidad, transporte público y bicicleta por barrio</t>
  </si>
  <si>
    <t xml:space="preserve">Walk Score</t>
  </si>
  <si>
    <t xml:space="preserve">https://www.walkscore.com/FL/Orlando</t>
  </si>
  <si>
    <t xml:space="preserve">Barrios de Orlando</t>
  </si>
  <si>
    <t xml:space="preserve">Listado del docx «Fuentes de información sobre Orlando» (29-sep-2026), fuente #30; confirmar si salió de IA o de búsqueda</t>
  </si>
  <si>
    <t xml:space="preserve">Prioridad media. La API pide llave y suele exigir mostrar su logo/enlace; leer los términos. Prueba 2026-10-05 (script del grupo): HTTP 200 pero devolvió una página HTML, no una descarga ni una API; falta probar el endpoint exacto. Repetida 2026-10-06: mismo resultado.</t>
  </si>
  <si>
    <t xml:space="preserve">F31</t>
  </si>
  <si>
    <t xml:space="preserve">Oferta de alquiler vacacional (precios, ubicación, reseñas)</t>
  </si>
  <si>
    <t xml:space="preserve">Airbnb</t>
  </si>
  <si>
    <t xml:space="preserve">https://www.airbnb.com/s/Orlando--FL</t>
  </si>
  <si>
    <t xml:space="preserve">Oferta vigente</t>
  </si>
  <si>
    <t xml:space="preserve">Listado del docx «Fuentes de información sobre Orlando» (29-sep-2026), fuente #31; confirmar si salió de IA o de búsqueda</t>
  </si>
  <si>
    <t xml:space="preserve">Sugerida descartar: sin API pública; incluye nombres de anfitriones y reseñas. Alternativa a explorar: Inside Airbnb (verificar si incluye Orlando y su licencia). Prueba 2026-10-05 (script del grupo): HTTP 200 pero devolvió una página HTML, no una descarga ni una API; falta probar el endpoint exacto. Repetida 2026-10-06: mismo resultado.</t>
  </si>
  <si>
    <t xml:space="preserve">F32</t>
  </si>
  <si>
    <t xml:space="preserve">Ocupación, ADR y RevPAR del mercado Airbnb/Vrbo</t>
  </si>
  <si>
    <t xml:space="preserve">AirDNA</t>
  </si>
  <si>
    <t xml:space="preserve">https://www.airdna.co</t>
  </si>
  <si>
    <t xml:space="preserve">Mercado de Orlando</t>
  </si>
  <si>
    <t xml:space="preserve">Listado del docx «Fuentes de información sobre Orlando» (29-sep-2026), fuente #32; confirmar si salió de IA o de búsqueda</t>
  </si>
  <si>
    <t xml:space="preserve">Sugerida descartar: producto de pago. Prueba 2026-10-05 (script del grupo): HTTP 200 pero devolvió una página HTML, no una descarga ni una API; falta probar el endpoint exacto. Repetida 2026-10-06: mismo resultado.</t>
  </si>
  <si>
    <t xml:space="preserve">F33</t>
  </si>
  <si>
    <t xml:space="preserve">Casas vacacionales en la zona de parques</t>
  </si>
  <si>
    <t xml:space="preserve">Expedia Group</t>
  </si>
  <si>
    <t xml:space="preserve">https://www.vrbo.com</t>
  </si>
  <si>
    <t xml:space="preserve">Listado del docx «Fuentes de información sobre Orlando» (29-sep-2026), fuente #33; confirmar si salió de IA o de búsqueda</t>
  </si>
  <si>
    <t xml:space="preserve">Sugerida descartar: sin API pública. Prueba 2026-10-05 (script del grupo): HTTP 429 (demasiadas solicitudes); reintentar espaciado o desde el navegador. Repetida 2026-10-06: mismo resultado.</t>
  </si>
  <si>
    <t xml:space="preserve">F34</t>
  </si>
  <si>
    <t xml:space="preserve">Mapa de calor global de rutas (correr/bicicleta)</t>
  </si>
  <si>
    <t xml:space="preserve">Strava</t>
  </si>
  <si>
    <t xml:space="preserve">https://www.strava.com/maps</t>
  </si>
  <si>
    <t xml:space="preserve">Normalmente los últimos 12 meses (verificar)</t>
  </si>
  <si>
    <t xml:space="preserve">Listado del docx «Fuentes de información sobre Orlando» (29-sep-2026), fuente #34; confirmar si salió de IA o de búsqueda</t>
  </si>
  <si>
    <t xml:space="preserve">Sugerida descartar: no es descargable. Strava Metro (para gobiernos) funciona por solicitud. Prueba 2026-10-05 (script del grupo): HTTP 200 pero devolvió una página HTML, no una descarga ni una API; falta probar el endpoint exacto. Repetida 2026-10-06: mismo resultado.</t>
  </si>
  <si>
    <t xml:space="preserve">F35</t>
  </si>
  <si>
    <t xml:space="preserve">Segmentos populares y tiempos de deportistas</t>
  </si>
  <si>
    <t xml:space="preserve">https://www.strava.com/segments/explore</t>
  </si>
  <si>
    <t xml:space="preserve">Listado del docx «Fuentes de información sobre Orlando» (29-sep-2026), fuente #35; confirmar si salió de IA o de búsqueda</t>
  </si>
  <si>
    <t xml:space="preserve">Sugerida descartar: nombres de deportistas y términos de la API que restringen guardar datos (verificar). Prueba 2026-10-05 (script del grupo): HTTP 200 pero devolvió una página HTML, no una descarga ni una API; falta probar el endpoint exacto. Repetida 2026-10-06: mismo resultado.</t>
  </si>
  <si>
    <t xml:space="preserve">F36</t>
  </si>
  <si>
    <t xml:space="preserve">Senderos, dificultad y reseñas</t>
  </si>
  <si>
    <t xml:space="preserve">AllTrails</t>
  </si>
  <si>
    <t xml:space="preserve">https://www.alltrails.com/us/florida/orlando</t>
  </si>
  <si>
    <t xml:space="preserve">Orlando y alrededores</t>
  </si>
  <si>
    <t xml:space="preserve">Listado del docx «Fuentes de información sobre Orlando» (29-sep-2026), fuente #36; confirmar si salió de IA o de búsqueda</t>
  </si>
  <si>
    <t xml:space="preserve">Sugerida descartar: sin API pública; reseñas de personas. Prueba 2026-10-05 (script del grupo): HTTP 403, el servidor rechazó al script. Esto es de la página principal: no prueba nada sobre la API o la descarga, que pueden estar en otro dominio. Repetida 2026-10-06: mismo resultado.</t>
  </si>
  <si>
    <t xml:space="preserve">F37</t>
  </si>
  <si>
    <t xml:space="preserve">Restaurantes y negocios (calificaciones, precios, reseñas)</t>
  </si>
  <si>
    <t xml:space="preserve">Yelp</t>
  </si>
  <si>
    <t xml:space="preserve">https://www.yelp.com/search?find_loc=Orlando%2C+FL</t>
  </si>
  <si>
    <t xml:space="preserve">Vigente</t>
  </si>
  <si>
    <t xml:space="preserve">Listado del docx «Fuentes de información sobre Orlando» (29-sep-2026), fuente #37; confirmar si salió de IA o de búsqueda</t>
  </si>
  <si>
    <t xml:space="preserve">Prioridad media. Verificar qué plan gratuito ofrece hoy y si sus términos permiten guardar datos en el lago. Prueba 2026-10-05 (script del grupo): HTTP 403, el servidor rechazó al script. Esto es de la página principal: no prueba nada sobre la API o la descarga, que pueden estar en otro dominio. Repetida 2026-10-06: mismo resultado.</t>
  </si>
  <si>
    <t xml:space="preserve">F38</t>
  </si>
  <si>
    <t xml:space="preserve">Atracciones, hoteles y rankings turísticos</t>
  </si>
  <si>
    <t xml:space="preserve">Tripadvisor</t>
  </si>
  <si>
    <t xml:space="preserve">https://www.tripadvisor.com/Tourism-g34515-Orlando_Florida-Vacations.html</t>
  </si>
  <si>
    <t xml:space="preserve">Listado del docx «Fuentes de información sobre Orlando» (29-sep-2026), fuente #38; confirmar si salió de IA o de búsqueda</t>
  </si>
  <si>
    <t xml:space="preserve">Prioridad media. Verificar la API de contenido (llave, cuota gratuita y términos). Prueba 2026-10-05 (script del grupo): HTTP 403, el servidor rechazó al script. Esto es de la página principal: no prueba nada sobre la API o la descarga, que pueden estar en otro dominio. Repetida 2026-10-06: mismo resultado.</t>
  </si>
  <si>
    <t xml:space="preserve">F39</t>
  </si>
  <si>
    <t xml:space="preserve">Negocios, horarios de mayor afluencia y reseñas</t>
  </si>
  <si>
    <t xml:space="preserve">https://www.google.com/maps/place/Orlando,+FL</t>
  </si>
  <si>
    <t xml:space="preserve">Listado del docx «Fuentes de información sobre Orlando» (29-sep-2026), fuente #39; confirmar si salió de IA o de búsqueda</t>
  </si>
  <si>
    <t xml:space="preserve">Prioridad media. Requiere cuenta con facturación y los términos limitan guardar los datos; revisar antes de integrarla. Prueba 2026-10-05 (script del grupo): HTTP 200 pero devolvió una página HTML, no una descarga ni una API; falta probar el endpoint exacto. Repetida 2026-10-06: mismo resultado.</t>
  </si>
  <si>
    <t xml:space="preserve">F40</t>
  </si>
  <si>
    <t xml:space="preserve">Precios de venta y arriendo, Zestimate e inventario</t>
  </si>
  <si>
    <t xml:space="preserve">Zillow</t>
  </si>
  <si>
    <t xml:space="preserve">https://www.zillow.com/orlando-fl/</t>
  </si>
  <si>
    <t xml:space="preserve">Listado del docx «Fuentes de información sobre Orlando» (29-sep-2026), fuente #40; confirmar si salió de IA o de búsqueda</t>
  </si>
  <si>
    <t xml:space="preserve">Sugerida descartar: sin API pública de listados. Para vivienda usar F41. Prueba 2026-10-05 (script del grupo): HTTP 200 pero devolvió una página HTML, no una descarga ni una API; falta probar el endpoint exacto. Repetida 2026-10-06: mismo resultado.</t>
  </si>
  <si>
    <t xml:space="preserve">F41</t>
  </si>
  <si>
    <t xml:space="preserve">Índices de vivienda descargables (ZHVI, ZORI)</t>
  </si>
  <si>
    <t xml:space="preserve">https://www.zillow.com/research/data/</t>
  </si>
  <si>
    <t xml:space="preserve">Desde 2000-01-31 (archivo Metro ZHVI); fin por verificar</t>
  </si>
  <si>
    <t xml:space="preserve">Listado del docx «Fuentes de información sobre Orlando» (29-sep-2026), fuente #41; confirmar si salió de IA o de búsqueda</t>
  </si>
  <si>
    <t xml:space="preserve">Prioridad alta. La página de datos pide atribuir a Zillow: copiar su texto exacto. Prueba 2026-10-05 (script del grupo): HTTP 200 pero devolvió una página HTML, no una descarga ni una API; falta probar el endpoint exacto. Prueba de endpoint 2026-10-05 (script del grupo): el CSV de ZHVI por área metropolitana (4,5 MB) se descargó; las columnas son RegionID, SizeRank, RegionName, RegionType, StateName y una columna por mes desde 2000-01-31. Es un archivo de todo EE. UU.: falta filtrar la fila de Orlando. Ojo: el nombre del archivo puede cambiar. Repetida 2026-10-06: mismo resultado.</t>
  </si>
  <si>
    <t xml:space="preserve">F42</t>
  </si>
  <si>
    <t xml:space="preserve">Días en el mercado, precio mediano e inventario</t>
  </si>
  <si>
    <t xml:space="preserve">Redfin</t>
  </si>
  <si>
    <t xml:space="preserve">https://www.redfin.com/news/data-center/</t>
  </si>
  <si>
    <t xml:space="preserve">Desde ~2012 (verificar)</t>
  </si>
  <si>
    <t xml:space="preserve">Listado del docx «Fuentes de información sobre Orlando» (29-sep-2026), fuente #42; confirmar si salió de IA o de búsqueda</t>
  </si>
  <si>
    <t xml:space="preserve">Prioridad alta. Los archivos suelen ser TSV comprimidos. Copiar los términos de uso del Data Center. Prueba 2026-10-05 (script del grupo): HTTP 200 pero devolvió una página HTML, no una descarga ni una API; falta probar el endpoint exacto. Prueba de endpoint 2026-10-05 (script del grupo): el archivo respondió (111 MB comprimido, TSV.gz). No se vio el contenido: falta descomprimirlo y confirmar columnas, periodo y la fila de Orlando. Repetida 2026-10-06: mismo resultado.</t>
  </si>
  <si>
    <t xml:space="preserve">F43</t>
  </si>
  <si>
    <t xml:space="preserve">Listados activos y tendencias de precio</t>
  </si>
  <si>
    <t xml:space="preserve">Realtor.com</t>
  </si>
  <si>
    <t xml:space="preserve">https://www.realtor.com/realestateandhomes-search/Orlando_FL</t>
  </si>
  <si>
    <t xml:space="preserve">Listado del docx «Fuentes de información sobre Orlando» (29-sep-2026), fuente #43; confirmar si salió de IA o de búsqueda</t>
  </si>
  <si>
    <t xml:space="preserve">Sugerida descartar los listados. Revisar si su área de investigación publica CSV mensuales. Prueba 2026-10-05 (script del grupo): HTTP 429 (demasiadas solicitudes); reintentar espaciado o desde el navegador. Repetida 2026-10-06: mismo resultado.</t>
  </si>
  <si>
    <t xml:space="preserve">F44</t>
  </si>
  <si>
    <t xml:space="preserve">Arriendos de apartamentos por barrio</t>
  </si>
  <si>
    <t xml:space="preserve">CoStar Group</t>
  </si>
  <si>
    <t xml:space="preserve">https://www.apartments.com/orlando-fl/</t>
  </si>
  <si>
    <t xml:space="preserve">Listado del docx «Fuentes de información sobre Orlando» (29-sep-2026), fuente #44; confirmar si salió de IA o de búsqueda</t>
  </si>
  <si>
    <t xml:space="preserve">Sugerida descartar: sin API pública. Prueba 2026-10-05 (script del grupo): HTTP 403, el servidor rechazó al script. Esto es de la página principal: no prueba nada sobre la API o la descarga, que pueden estar en otro dominio. Repetida 2026-10-06: mismo resultado.</t>
  </si>
  <si>
    <t xml:space="preserve">F45</t>
  </si>
  <si>
    <t xml:space="preserve">Eventos, conferencias y conciertos</t>
  </si>
  <si>
    <t xml:space="preserve">Eventbrite</t>
  </si>
  <si>
    <t xml:space="preserve">https://www.eventbrite.com/d/fl--orlando/events/</t>
  </si>
  <si>
    <t xml:space="preserve">Eventos vigentes</t>
  </si>
  <si>
    <t xml:space="preserve">Listado del docx «Fuentes de información sobre Orlando» (29-sep-2026), fuente #45; confirmar si salió de IA o de búsqueda</t>
  </si>
  <si>
    <t xml:space="preserve">Sugerida descartar: verificar si la búsqueda pública por API sigue habilitada. Prueba 2026-10-05 (script del grupo): HTTP 200 pero devolvió una página HTML, no una descarga ni una API; falta probar el endpoint exacto. Repetida 2026-10-06: mismo resultado.</t>
  </si>
  <si>
    <t xml:space="preserve">F46</t>
  </si>
  <si>
    <t xml:space="preserve">Comunidades y grupos por tema</t>
  </si>
  <si>
    <t xml:space="preserve">Meetup</t>
  </si>
  <si>
    <t xml:space="preserve">https://www.meetup.com/find/?location=us--fl--Orlando</t>
  </si>
  <si>
    <t xml:space="preserve">Listado del docx «Fuentes de información sobre Orlando» (29-sep-2026), fuente #46; confirmar si salió de IA o de búsqueda</t>
  </si>
  <si>
    <t xml:space="preserve">Sugerida descartar: verificar si el acceso a la API exige suscripción. Prueba 2026-10-05 (script del grupo): HTTP 200 pero devolvió una página HTML, no una descarga ni una API; falta probar el endpoint exacto. Repetida 2026-10-06: mismo resultado.</t>
  </si>
  <si>
    <t xml:space="preserve">F47</t>
  </si>
  <si>
    <t xml:space="preserve">Opinión ciudadana, quejas y recomendaciones locales (r/orlando)</t>
  </si>
  <si>
    <t xml:space="preserve">Reddit</t>
  </si>
  <si>
    <t xml:space="preserve">https://www.reddit.com/r/orlando/</t>
  </si>
  <si>
    <t xml:space="preserve">Historial del subreddit (la API limita cuánto se puede traer)</t>
  </si>
  <si>
    <t xml:space="preserve">Listado del docx «Fuentes de información sobre Orlando» (29-sep-2026), fuente #47; confirmar si salió de IA o de búsqueda</t>
  </si>
  <si>
    <t xml:space="preserve">Prioridad baja. Nombres de usuario y texto libre; sus términos de API limitan el uso. Prueba 2026-10-05 (script del grupo): HTTP 200 pero devolvió una página HTML, no una descarga ni una API; falta probar el endpoint exacto. Repetida 2026-10-06: mismo resultado.</t>
  </si>
  <si>
    <t xml:space="preserve">F48</t>
  </si>
  <si>
    <t xml:space="preserve">Tiempos de espera históricos en Disney y Universal</t>
  </si>
  <si>
    <t xml:space="preserve">Thrill Data</t>
  </si>
  <si>
    <t xml:space="preserve">https://www.thrill-data.com</t>
  </si>
  <si>
    <t xml:space="preserve">Parques de Orlando</t>
  </si>
  <si>
    <t xml:space="preserve">Histórico por atracción (verificar desde cuándo)</t>
  </si>
  <si>
    <t xml:space="preserve">Listado del docx «Fuentes de información sobre Orlando» (29-sep-2026), fuente #48; confirmar si salió de IA o de búsqueda</t>
  </si>
  <si>
    <t xml:space="preserve">Prioridad media. Sin API conocida; verificar si existe alternativa abierta con atribución (p. ej. Queue-Times). Prueba 2026-10-05 (script del grupo): HTTP 403, el servidor rechazó al script. Esto es de la página principal: no prueba nada sobre la API o la descarga, que pueden estar en otro dominio. Repetida 2026-10-06: mismo resultado.</t>
  </si>
  <si>
    <t xml:space="preserve">F49</t>
  </si>
  <si>
    <t xml:space="preserve">Calendarios de afluencia de parques y predicciones</t>
  </si>
  <si>
    <t xml:space="preserve">Touring Plans</t>
  </si>
  <si>
    <t xml:space="preserve">https://touringplans.com</t>
  </si>
  <si>
    <t xml:space="preserve">Listado del docx «Fuentes de información sobre Orlando» (29-sep-2026), fuente #49; confirmar si salió de IA o de búsqueda</t>
  </si>
  <si>
    <t xml:space="preserve">Sugerida descartar: contenido por suscripción. Prueba 2026-10-05 (script del grupo): HTTP 200 pero devolvió una página HTML, no una descarga ni una API; falta probar el endpoint exacto. Repetida 2026-10-06: mismo resultado.</t>
  </si>
  <si>
    <t xml:space="preserve">F50</t>
  </si>
  <si>
    <t xml:space="preserve">Búsquedas en el área de Orlando a lo largo del tiempo</t>
  </si>
  <si>
    <t xml:space="preserve">https://trends.google.com</t>
  </si>
  <si>
    <t xml:space="preserve">Área de Orlando</t>
  </si>
  <si>
    <t xml:space="preserve">Listado del docx «Fuentes de información sobre Orlando» (29-sep-2026), fuente #50; confirmar si salió de IA o de búsqueda</t>
  </si>
  <si>
    <t xml:space="preserve">Sugerida descartar: coincide con lo que la plantilla de ejemplo ya anota (sin API abierta ni licencia de reutilización); confirmarlo con una prueba. Prueba 2026-10-05 (script del grupo): HTTP 200 pero devolvió una página HTML, no una descarga ni una API; falta probar el endpoint exacto. Repetida 2026-10-06: mismo resultado.</t>
  </si>
  <si>
    <t xml:space="preserve">F51</t>
  </si>
  <si>
    <t xml:space="preserve">Turismo oficial, cifras de visitantes y atracciones</t>
  </si>
  <si>
    <t xml:space="preserve">Visit Orlando</t>
  </si>
  <si>
    <t xml:space="preserve">https://www.visitorlando.com</t>
  </si>
  <si>
    <t xml:space="preserve">Orlando / Orange County</t>
  </si>
  <si>
    <t xml:space="preserve">Informes por año (verificar)</t>
  </si>
  <si>
    <t xml:space="preserve">Listado del docx «Fuentes de información sobre Orlando» (29-sep-2026), fuente #51; confirmar si salió de IA o de búsqueda</t>
  </si>
  <si>
    <t xml:space="preserve">Prioridad media. Buscar su sección de investigación con cifras de visitantes. Prueba 2026-10-05 (script del grupo): HTTP 200 pero devolvió una página HTML, no una descarga ni una API; falta probar el endpoint exacto. Repetida 2026-10-06: mismo resultado.</t>
  </si>
  <si>
    <t xml:space="preserve">F52</t>
  </si>
  <si>
    <t xml:space="preserve">Parques, horarios, precios y eventos</t>
  </si>
  <si>
    <t xml:space="preserve">Walt Disney World</t>
  </si>
  <si>
    <t xml:space="preserve">https://disneyworld.disney.go.com</t>
  </si>
  <si>
    <t xml:space="preserve">Listado del docx «Fuentes de información sobre Orlando» (29-sep-2026), fuente #52; confirmar si salió de IA o de búsqueda</t>
  </si>
  <si>
    <t xml:space="preserve">Sugerida descartar: sin API pública. Prueba 2026-10-05 (script del grupo): HTTP 200 pero devolvió una página HTML, no una descarga ni una API; falta probar el endpoint exacto. Repetida 2026-10-06: mismo resultado.</t>
  </si>
  <si>
    <t xml:space="preserve">F53</t>
  </si>
  <si>
    <t xml:space="preserve">Parques (incl. Epic Universe), precios y horarios</t>
  </si>
  <si>
    <t xml:space="preserve">Universal Orlando</t>
  </si>
  <si>
    <t xml:space="preserve">https://www.universalorlando.com</t>
  </si>
  <si>
    <t xml:space="preserve">Listado del docx «Fuentes de información sobre Orlando» (29-sep-2026), fuente #53; confirmar si salió de IA o de búsqueda</t>
  </si>
  <si>
    <t xml:space="preserve">F54</t>
  </si>
  <si>
    <t xml:space="preserve">Calendario de convenciones y ferias</t>
  </si>
  <si>
    <t xml:space="preserve">Orange County Convention Center</t>
  </si>
  <si>
    <t xml:space="preserve">https://www.occc.net</t>
  </si>
  <si>
    <t xml:space="preserve">Calendario vigente</t>
  </si>
  <si>
    <t xml:space="preserve">Listado del docx «Fuentes de información sobre Orlando» (29-sep-2026), fuente #54; confirmar si salió de IA o de búsqueda</t>
  </si>
  <si>
    <t xml:space="preserve">F55</t>
  </si>
  <si>
    <t xml:space="preserve">Partidos, estadísticas y asistencia del Orlando Magic</t>
  </si>
  <si>
    <t xml:space="preserve">NBA</t>
  </si>
  <si>
    <t xml:space="preserve">https://www.nba.com/magic</t>
  </si>
  <si>
    <t xml:space="preserve">Por temporada</t>
  </si>
  <si>
    <t xml:space="preserve">Listado del docx «Fuentes de información sobre Orlando» (29-sep-2026), fuente #55; confirmar si salió de IA o de búsqueda</t>
  </si>
  <si>
    <t xml:space="preserve">Prioridad baja. Sin API oficial pública conocida; revisar términos antes de usar. Prueba 2026-10-05 (script del grupo): HTTP 200 pero devolvió una página HTML, no una descarga ni una API; falta probar el endpoint exacto. Repetida 2026-10-06: mismo resultado.</t>
  </si>
  <si>
    <t xml:space="preserve">F56</t>
  </si>
  <si>
    <t xml:space="preserve">Partidos, estadio y eventos de Orlando City SC</t>
  </si>
  <si>
    <t xml:space="preserve">Major League Soccer</t>
  </si>
  <si>
    <t xml:space="preserve">https://www.orlandocitysc.com</t>
  </si>
  <si>
    <t xml:space="preserve">Listado del docx «Fuentes de información sobre Orlando» (29-sep-2026), fuente #56; confirmar si salió de IA o de búsqueda</t>
  </si>
  <si>
    <t xml:space="preserve">F57</t>
  </si>
  <si>
    <t xml:space="preserve">Pronósticos, alertas y huracanes (NWS Melbourne)</t>
  </si>
  <si>
    <t xml:space="preserve">National Weather Service</t>
  </si>
  <si>
    <t xml:space="preserve">https://www.weather.gov/mlb</t>
  </si>
  <si>
    <t xml:space="preserve">GeoJSON</t>
  </si>
  <si>
    <t xml:space="preserve">Centro-este de Florida (incluye Orlando)</t>
  </si>
  <si>
    <t xml:space="preserve">Pronósticos y alertas vigentes; sin histórico largo</t>
  </si>
  <si>
    <t xml:space="preserve">Listado del docx «Fuentes de información sobre Orlando» (29-sep-2026), fuente #57; confirmar si salió de IA o de búsqueda</t>
  </si>
  <si>
    <t xml:space="preserve">Prioridad alta. API en api.weather.gov (sin llave; pide un User-Agent). Para histórico usar F58. Prueba 2026-10-05 (script del grupo): HTTP 200 pero devolvió una página HTML, no una descarga ni una API; falta probar el endpoint exacto. Prueba de endpoint 2026-10-05 (script del grupo): el punto de Orlando (28.5383, -81.3792) respondió con GeoJSON sin llave; trae los enlaces al pronóstico y a las alertas. Repetida 2026-10-06: mismo resultado.</t>
  </si>
  <si>
    <t xml:space="preserve">F58</t>
  </si>
  <si>
    <t xml:space="preserve">Histórico de temperatura y lluvia (Climate Data Online)</t>
  </si>
  <si>
    <t xml:space="preserve">NOAA NCEI</t>
  </si>
  <si>
    <t xml:space="preserve">https://www.ncei.noaa.gov/cdo-web/</t>
  </si>
  <si>
    <t xml:space="preserve">Estaciones de Orlando</t>
  </si>
  <si>
    <t xml:space="preserve">Histórico de décadas por estación (verificar la estación del MCO)</t>
  </si>
  <si>
    <t xml:space="preserve">Listado del docx «Fuentes de información sobre Orlando» (29-sep-2026), fuente #58; confirmar si salió de IA o de búsqueda</t>
  </si>
  <si>
    <t xml:space="preserve">Prioridad alta. La API pide un token gratuito enviado por correo. Prueba 2026-10-05 (script del grupo): HTTP 200 pero devolvió una página HTML, no una descarga ni una API; falta probar el endpoint exacto. Prueba de endpoint 2026-10-05 (script del grupo): el servicio de acceso a datos de NCEI devolvió un CSV sin token (con el token de CDO v2 no se probó). Solo se vio el encabezado: falta confirmar que hay filas de 2025 y que la estación USW00012815 es Orlando Intl. Repetida 2026-10-06: mismo resultado.</t>
  </si>
  <si>
    <t xml:space="preserve">F59</t>
  </si>
  <si>
    <t xml:space="preserve">Calidad del aire (AQI)</t>
  </si>
  <si>
    <t xml:space="preserve">US Environmental Protection Agency (EPA)</t>
  </si>
  <si>
    <t xml:space="preserve">https://www.airnow.gov</t>
  </si>
  <si>
    <t xml:space="preserve">Observaciones actuales y recientes; histórico por verificar</t>
  </si>
  <si>
    <t xml:space="preserve">Listado del docx «Fuentes de información sobre Orlando» (29-sep-2026), fuente #59; confirmar si salió de IA o de búsqueda</t>
  </si>
  <si>
    <t xml:space="preserve">Prioridad media. Verificar la llave gratuita de la API y la disponibilidad de histórico. Prueba 2026-10-05 (script del grupo): HTTP 200 pero devolvió una página HTML, no una descarga ni una API; falta probar el endpoint exacto. Repetida 2026-10-06: mismo resultado.</t>
  </si>
  <si>
    <t xml:space="preserve">F60</t>
  </si>
  <si>
    <t xml:space="preserve">Sensores ciudadanos de partículas PM2.5</t>
  </si>
  <si>
    <t xml:space="preserve">PurpleAir</t>
  </si>
  <si>
    <t xml:space="preserve">https://map.purpleair.com</t>
  </si>
  <si>
    <t xml:space="preserve">Sensores de Orlando</t>
  </si>
  <si>
    <t xml:space="preserve">Tiempo real + histórico por verificar</t>
  </si>
  <si>
    <t xml:space="preserve">Listado del docx «Fuentes de información sobre Orlando» (29-sep-2026), fuente #60; confirmar si salió de IA o de búsqueda</t>
  </si>
  <si>
    <t xml:space="preserve">Prioridad baja. Sensores en casas particulares (ubicación aproximada); verificar costo en puntos y licencia. Prueba 2026-10-05 (script del grupo): HTTP 200 pero devolvió una página HTML, no una descarga ni una API; falta probar el endpoint exacto. Repetida 2026-10-06: mismo resultado.</t>
  </si>
  <si>
    <t xml:space="preserve">F61</t>
  </si>
  <si>
    <t xml:space="preserve">Zonas de riesgo de inundación (NFHL)</t>
  </si>
  <si>
    <t xml:space="preserve">FEMA</t>
  </si>
  <si>
    <t xml:space="preserve">https://msc.fema.gov</t>
  </si>
  <si>
    <t xml:space="preserve">Shapefile</t>
  </si>
  <si>
    <t xml:space="preserve">Listado del docx «Fuentes de información sobre Orlando» (29-sep-2026), fuente #61; confirmar si salió de IA o de búsqueda</t>
  </si>
  <si>
    <t xml:space="preserve">Prioridad media. Confirmar si la descarga pide cuenta o sesión. Prueba 2026-10-05 (script del grupo): el servidor cerró la conexión sin responder. Reintentar desde el navegador. Repetida 2026-10-06: mismo resultado.</t>
  </si>
  <si>
    <t xml:space="preserve">F62</t>
  </si>
  <si>
    <t xml:space="preserve">Indicadores de salud pública y brotes</t>
  </si>
  <si>
    <t xml:space="preserve">Florida Department of Health in Orange County</t>
  </si>
  <si>
    <t xml:space="preserve">https://orange.floridahealth.gov</t>
  </si>
  <si>
    <t xml:space="preserve">Listado del docx «Fuentes de información sobre Orlando» (29-sep-2026), fuente #62; confirmar si salió de IA o de búsqueda</t>
  </si>
  <si>
    <t xml:space="preserve">Prioridad baja. Buscar el portal estatal de indicadores de salud, que suele ser descargable. Prueba 2026-10-05 (script del grupo): HTTP 200 pero devolvió una página HTML, no una descarga ni una API; falta probar el endpoint exacto. Repetida 2026-10-06: mismo resultado.</t>
  </si>
  <si>
    <t xml:space="preserve">F63</t>
  </si>
  <si>
    <t xml:space="preserve">Ranking de salud del condado de Orange</t>
  </si>
  <si>
    <t xml:space="preserve">County Health Rankings &amp; Roadmaps (Univ. de Wisconsin)</t>
  </si>
  <si>
    <t xml:space="preserve">https://www.countyhealthrankings.org</t>
  </si>
  <si>
    <t xml:space="preserve">Ediciones anuales (verificar desde cuándo)</t>
  </si>
  <si>
    <t xml:space="preserve">Listado del docx «Fuentes de información sobre Orlando» (29-sep-2026), fuente #63; confirmar si salió de IA o de búsqueda</t>
  </si>
  <si>
    <t xml:space="preserve">Prioridad media. Copiar su texto de uso/cita. Prueba 2026-10-05 (script del grupo): HTTP 200 pero devolvió una página HTML, no una descarga ni una API; falta probar el endpoint exacto. Repetida 2026-10-06: mismo resultado.</t>
  </si>
  <si>
    <t xml:space="preserve">F64</t>
  </si>
  <si>
    <t xml:space="preserve">Estadísticas de crimen por agencia (Orlando Police Department)</t>
  </si>
  <si>
    <t xml:space="preserve">FBI Crime Data Explorer</t>
  </si>
  <si>
    <t xml:space="preserve">https://cde.ucr.cjis.gov</t>
  </si>
  <si>
    <t xml:space="preserve">Agencia Orlando PD</t>
  </si>
  <si>
    <t xml:space="preserve">Verificar cobertura de Orlando PD (cambio a NIBRS en 2021)</t>
  </si>
  <si>
    <t xml:space="preserve">Listado del docx «Fuentes de información sobre Orlando» (29-sep-2026), fuente #64; confirmar si salió de IA o de búsqueda</t>
  </si>
  <si>
    <t xml:space="preserve">Prioridad alta. API vía api.data.gov (llave gratuita). Prueba 2026-10-05 (script del grupo): HTTP 200 pero devolvió una página HTML, no una descarga ni una API; falta probar el endpoint exacto. Repetida 2026-10-06: mismo resultado.</t>
  </si>
  <si>
    <t xml:space="preserve">F65</t>
  </si>
  <si>
    <t xml:space="preserve">Noticias de Orlando Sentinel</t>
  </si>
  <si>
    <t xml:space="preserve">Orlando Sentinel</t>
  </si>
  <si>
    <t xml:space="preserve">Medio de comunicación</t>
  </si>
  <si>
    <t xml:space="preserve">https://www.orlandosentinel.com</t>
  </si>
  <si>
    <t xml:space="preserve">Archivo de noticias</t>
  </si>
  <si>
    <t xml:space="preserve">Listado del docx «Fuentes de información sobre Orlando» (29-sep-2026), fuente #65; confirmar si salió de IA o de búsqueda</t>
  </si>
  <si>
    <t xml:space="preserve">Sugerida descartar para el lago (derechos del medio, muro de pago); sirve como contexto. Prueba 2026-10-05 (script del grupo): HTTP 200 pero devolvió una página HTML, no una descarga ni una API; falta probar el endpoint exacto. Repetida 2026-10-06: mismo resultado.</t>
  </si>
  <si>
    <t xml:space="preserve">F66</t>
  </si>
  <si>
    <t xml:space="preserve">Noticias de WESH 2</t>
  </si>
  <si>
    <t xml:space="preserve">WESH 2</t>
  </si>
  <si>
    <t xml:space="preserve">https://www.wesh.com</t>
  </si>
  <si>
    <t xml:space="preserve">Listado del docx «Fuentes de información sobre Orlando» (29-sep-2026), fuente #66; confirmar si salió de IA o de búsqueda</t>
  </si>
  <si>
    <t xml:space="preserve">Sugerida descartar para el lago; sirve como contexto. Prueba 2026-10-05 (script del grupo): HTTP 200 pero devolvió una página HTML, no una descarga ni una API; falta probar el endpoint exacto. Repetida 2026-10-06: mismo resultado.</t>
  </si>
  <si>
    <t xml:space="preserve">F67</t>
  </si>
  <si>
    <t xml:space="preserve">Noticias y clima de WFTV 9</t>
  </si>
  <si>
    <t xml:space="preserve">WFTV 9</t>
  </si>
  <si>
    <t xml:space="preserve">https://www.wftv.com</t>
  </si>
  <si>
    <t xml:space="preserve">Listado del docx «Fuentes de información sobre Orlando» (29-sep-2026), fuente #67; confirmar si salió de IA o de búsqueda</t>
  </si>
  <si>
    <t xml:space="preserve">F68</t>
  </si>
  <si>
    <t xml:space="preserve">Cultura, vida nocturna y política local</t>
  </si>
  <si>
    <t xml:space="preserve">Orlando Weekly</t>
  </si>
  <si>
    <t xml:space="preserve">https://www.orlandoweekly.com</t>
  </si>
  <si>
    <t xml:space="preserve">Listado del docx «Fuentes de información sobre Orlando» (29-sep-2026), fuente #68; confirmar si salió de IA o de búsqueda</t>
  </si>
  <si>
    <t xml:space="preserve">F69</t>
  </si>
  <si>
    <t xml:space="preserve">Negocios, inversión y bienes raíces</t>
  </si>
  <si>
    <t xml:space="preserve">Orlando Business Journal</t>
  </si>
  <si>
    <t xml:space="preserve">https://www.bizjournals.com/orlando</t>
  </si>
  <si>
    <t xml:space="preserve">Listado del docx «Fuentes de información sobre Orlando» (29-sep-2026), fuente #69; confirmar si salió de IA o de búsqueda</t>
  </si>
  <si>
    <t xml:space="preserve">Sugerida descartar para el lago (muro de pago); sirve como contexto. Prueba 2026-10-05 (script del grupo): HTTP 403, el servidor rechazó al script. Esto es de la página principal: no prueba nada sobre la API o la descarga, que pueden estar en otro dominio. Repetida 2026-10-06: mismo resultado.</t>
  </si>
  <si>
    <t xml:space="preserve">F70</t>
  </si>
  <si>
    <t xml:space="preserve">Indeed Hiring Lab · Job Postings Index por área metropolitana</t>
  </si>
  <si>
    <t xml:space="preserve">https://raw.githubusercontent.com/hiring-lab/job_postings_tracker/master/US/metro_job_postings_us.csv</t>
  </si>
  <si>
    <t xml:space="preserve">CC BY 4.0</t>
  </si>
  <si>
    <t xml:space="preserve">Orlando-Kissimmee-Sanford, FL (CBSA 36740)</t>
  </si>
  <si>
    <t xml:space="preserve">2020-02-01 a 2026-09-25 (filas de Orlando)</t>
  </si>
  <si>
    <t xml:space="preserve">Se la pedimos a la IA (Claude) como alternativa abierta a Indeed (F19); clonada desde GitHub</t>
  </si>
  <si>
    <t xml:space="preserve">Probada por Claude el 2026-10-02 y repetida por el grupo el 2026-10-05 (HTTP 200, 62 MB). La licencia sale de LICENSE y README del repo. Serie diaria que el repo refresca cada semana; columnas: date, metro, cbsa_code, indeed_job_postings_index (índice, base 100 = 1-feb-2020). El archivo trae todas las áreas metropolitanas de EE. UU.: filtrar Orlando-Kissimmee-Sanford, FL (CBSA 36740). No está en el repo del grupo todavía. Repetida 2026-10-06: mismo resultado.</t>
  </si>
  <si>
    <t xml:space="preserve">F71</t>
  </si>
  <si>
    <t xml:space="preserve">Vistas mensuales del artículo de Orlando en Wikipedia</t>
  </si>
  <si>
    <t xml:space="preserve">https://wikimedia.org/api/rest_v1/metrics/pageviews/per-article/es.wikipedia/all-access/user/Orlando_(Florida)/monthly/20250101/20260930</t>
  </si>
  <si>
    <t xml:space="preserve">Desde 2025-01; fin por verificar</t>
  </si>
  <si>
    <t xml:space="preserve">IA (Claude), a partir de la tabla «Dónde buscar» del taller; todavía nadie ha abierto el enlace</t>
  </si>
  <si>
    <t xml:space="preserve">Es la fuente del ejemplo del taller (CC0). Ojo: el título del artículo no está confirmado; el script de la lámina del lago lo comprueba con assert (debe ser un artículo, no una página de desambiguación). Cuenta personas, no bots. Prueba 2026-10-06 (script del grupo): HTTP 200 con JSON; el título «Orlando_(Florida)» tiene vistas. Falta confirmar con el assert del script que es el artículo de la ciudad y no una redirección, y anotar el último mes completo.</t>
  </si>
  <si>
    <t xml:space="preserve">F72</t>
  </si>
  <si>
    <t xml:space="preserve">GDELT · noticias sobre Orlando (volumen y titulares)</t>
  </si>
  <si>
    <t xml:space="preserve">The GDELT Project</t>
  </si>
  <si>
    <t xml:space="preserve">https://api.gdeltproject.org/api/v2/doc/doc?query=Orlando&amp;mode=timelinevol&amp;format=json</t>
  </si>
  <si>
    <t xml:space="preserve">Orlando (por consulta)</t>
  </si>
  <si>
    <t xml:space="preserve">Archivo reciente; alcance por verificar</t>
  </si>
  <si>
    <t xml:space="preserve">El taller dice que cada fuente de «lo que se dice» lleva sus propios términos: copiar los de GDELT. Los titulares son texto libre: revisarlos antes de guardarlos. Prueba 2026-10-06 (script del grupo): HTTP 429 (límite de solicitudes). Reintentar espaciando las llamadas unos segundos.</t>
  </si>
  <si>
    <t xml:space="preserve">F73</t>
  </si>
  <si>
    <t xml:space="preserve">Google News RSS · consultas sobre Orlando</t>
  </si>
  <si>
    <t xml:space="preserve">https://news.google.com/rss/search?q=Orlando+Florida</t>
  </si>
  <si>
    <t xml:space="preserve">Uso personal (términos del feed)</t>
  </si>
  <si>
    <t xml:space="preserve">Titulares recientes (sin histórico)</t>
  </si>
  <si>
    <t xml:space="preserve">La licencia es la que el catálogo de Lima registra para este mismo feed; confirmarla en los términos de Google. Los enlaces son redirecciones de Google que no se resuelven. Prueba 2026-10-06 (script del grupo): HTTP 200 con XML (RSS); Google redirigió a la versión en inglés de EE. UU. (hl=en-US&amp;gl=US).</t>
  </si>
  <si>
    <t xml:space="preserve">F74</t>
  </si>
  <si>
    <t xml:space="preserve">OpenStreetMap · lugares y edificios de Orlando (Overpass)</t>
  </si>
  <si>
    <t xml:space="preserve">Colaboradores de OpenStreetMap</t>
  </si>
  <si>
    <t xml:space="preserve">https://overpass-api.de/api/interpreter</t>
  </si>
  <si>
    <t xml:space="preserve">ODbL</t>
  </si>
  <si>
    <t xml:space="preserve">Orlando (por consulta de área)</t>
  </si>
  <si>
    <t xml:space="preserve">Estado actual del mapa</t>
  </si>
  <si>
    <t xml:space="preserve">ODbL obliga a atribuir y a compartir igual lo derivado. Cobertura voluntaria: complementa los registros oficiales, no los sustituye. Falta escribir la consulta de área de Orlando. Prueba 2026-10-06 (script del grupo): HTTP 400. Probablemente porque la URL base no lleva consulta; probar con una consulta mínima (parámetro data=).</t>
  </si>
  <si>
    <t xml:space="preserve">F75</t>
  </si>
  <si>
    <t xml:space="preserve">Overture Maps · edificios y lugares de Orlando</t>
  </si>
  <si>
    <t xml:space="preserve">Overture Maps Foundation</t>
  </si>
  <si>
    <t xml:space="preserve">https://overturemaps.org</t>
  </si>
  <si>
    <t xml:space="preserve">Parquet</t>
  </si>
  <si>
    <t xml:space="preserve">Mundial (recortar a Orlando)</t>
  </si>
  <si>
    <t xml:space="preserve">Versión vigente (verificar)</t>
  </si>
  <si>
    <t xml:space="preserve">El taller advierte que cada tema de Overture trae su propia licencia: anotar la de cada tema que se use. Falta la ruta exacta de la versión vigente. Prueba 2026-10-06 (script del grupo): HTTP 200 pero es la página principal; falta la ruta de la versión vigente.</t>
  </si>
  <si>
    <t xml:space="preserve">F76</t>
  </si>
  <si>
    <t xml:space="preserve">Imágenes Sentinel-2 · catálogo STAC público</t>
  </si>
  <si>
    <t xml:space="preserve">ESA (Programa Copernicus)</t>
  </si>
  <si>
    <t xml:space="preserve">https://earth-search.aws.element84.com/v1</t>
  </si>
  <si>
    <t xml:space="preserve">Mundial (filtrar caja de Orlando)</t>
  </si>
  <si>
    <t xml:space="preserve">Archivo desde ~2015 (verificar)</t>
  </si>
  <si>
    <t xml:space="preserve">El taller la cita como fuente «desde arriba» para cualquier ciudad, sin llave. Este catálogo STAC lo mantiene Element 84; las imágenes son de Copernicus: copiar la licencia de Copernicus. Prueba 2026-10-06 (script del grupo): HTTP 200 con JSON (raíz del catálogo STAC). Falta una búsqueda sobre la caja de Orlando.</t>
  </si>
  <si>
    <t xml:space="preserve">F77</t>
  </si>
  <si>
    <t xml:space="preserve">NASA GIBS · capas satelitales (WMTS)</t>
  </si>
  <si>
    <t xml:space="preserve">NASA</t>
  </si>
  <si>
    <t xml:space="preserve">https://gibs.earthdata.nasa.gov/wmts/epsg4326/best/wmts.cgi?SERVICE=WMTS&amp;REQUEST=GetCapabilities</t>
  </si>
  <si>
    <t xml:space="preserve">Mundial (por teselas)</t>
  </si>
  <si>
    <t xml:space="preserve">Varía por capa (verificar)</t>
  </si>
  <si>
    <t xml:space="preserve">El taller la cita como fuente «desde arriba» para cualquier ciudad, sin llave. Copiar los términos de uso de NASA Earthdata. Prueba 2026-10-06 (script del grupo): HTTP 200 con XML de capacidades del servicio WMTS. Falta pedir una capa y una teselas de Orlando.</t>
  </si>
  <si>
    <t xml:space="preserve">F78</t>
  </si>
  <si>
    <t xml:space="preserve">Límites territoriales (TIGER/Line): lugares de Florida</t>
  </si>
  <si>
    <t xml:space="preserve">https://www2.census.gov/geo/tiger/TIGER2024/PLACE/tl_2024_12_place.zip</t>
  </si>
  <si>
    <t xml:space="preserve">Estado de Florida (Orlando = lugar 53000)</t>
  </si>
  <si>
    <t xml:space="preserve">Edición 2024</t>
  </si>
  <si>
    <t xml:space="preserve">Cruzar con otras fuentes por código FIPS (lugar 53000, estado 12), nunca por el nombre. Verificar que la edición 2024 siga publicada. Prueba 2026-10-06 (script del grupo): HTTP 200 como ZIP. Falta abrirlo y confirmar que trae el lugar 53000 (Orlando).</t>
  </si>
  <si>
    <t xml:space="preserve">F79</t>
  </si>
  <si>
    <t xml:space="preserve">Datos abiertos de Orlando · Permit Applications (ryhf-m453)</t>
  </si>
  <si>
    <t xml:space="preserve">https://data.cityoforlando.net/resource/ryhf-m453.json</t>
  </si>
  <si>
    <t xml:space="preserve">no declara</t>
  </si>
  <si>
    <t xml:space="preserve">Inicio por verificar; actualizado hasta 2026-10-05</t>
  </si>
  <si>
    <t xml:space="preserve">Búsqueda: catálogo del portal de Orlando, bajado con catalogo_orlando.py; ficha leída con licencias_orlando.py</t>
  </si>
  <si>
    <t xml:space="preserve">Prioridad alta. Trae nombres de propietarios y contratistas, y teléfono y dirección del contratista: no entra tal cual; agregar por barrio o distrito y quitar esos campos. «Updated daily» según la descripción del portal. Prueba 2026-10-06 (script del grupo): HTTP 200, JSON, 5 filas de muestra. Ficha sin licencia: el campo license está vacío en la ficha del portal; revisar si hay términos generales del portal antes de integrar.</t>
  </si>
  <si>
    <t xml:space="preserve">F80</t>
  </si>
  <si>
    <t xml:space="preserve">Datos abiertos de Orlando · OPD Officer-Involved Shootings (6kz6-6c7n)</t>
  </si>
  <si>
    <t xml:space="preserve">https://data.cityoforlando.net/resource/6kz6-6c7n.json</t>
  </si>
  <si>
    <t xml:space="preserve">Desde 2009 (según la descripción del portal); actualizado hasta 2025-07-14</t>
  </si>
  <si>
    <t xml:space="preserve">Prioridad baja. Trae nombre, edad, raza y género de sospechosos y oficiales: muy sensible, aunque sea público. Sugerida no publicar; si se usa, solo conteos por año. DATO VIEJO: sin cambios desde 2025-07-14. Atribución que declara el portal: Orlando Police Department. Prueba 2026-10-06 (script del grupo): HTTP 200, JSON, 5 filas de muestra. Ficha sin licencia: el campo license está vacío en la ficha del portal; revisar si hay términos generales del portal antes de integrar.</t>
  </si>
  <si>
    <t xml:space="preserve">F81</t>
  </si>
  <si>
    <t xml:space="preserve">Datos abiertos de Orlando · Business Tax Receipts (7388-4re5)</t>
  </si>
  <si>
    <t xml:space="preserve">https://data.cityoforlando.net/resource/7388-4re5.json</t>
  </si>
  <si>
    <t xml:space="preserve">Desde 2010 (según la descripción del portal); actualizado hasta 2026-10-05</t>
  </si>
  <si>
    <t xml:space="preserve">Prioridad media. Trae nombre del dueño, teléfono y correo del negocio: agregar por barrio y quitar esos campos. Prueba 2026-10-06 (script del grupo): HTTP 200, JSON, 5 filas de muestra. Ficha sin licencia: el campo license está vacío en la ficha del portal; revisar si hay términos generales del portal antes de integrar.</t>
  </si>
  <si>
    <t xml:space="preserve">F82</t>
  </si>
  <si>
    <t xml:space="preserve">Datos abiertos de Orlando · City Owned Vacant Lots (bkpt-5h2w)</t>
  </si>
  <si>
    <t xml:space="preserve">https://data.cityoforlando.net/resource/bkpt-5h2w.json</t>
  </si>
  <si>
    <t xml:space="preserve">Inicio por verificar; actualizado hasta 2026-02-04</t>
  </si>
  <si>
    <t xml:space="preserve">Prioridad baja. Lotes de propiedad de la ciudad; los campos de notas son texto libre. Atribución que declara el portal: Real Estate Management Division. Prueba 2026-10-06 (script del grupo): HTTP 200, JSON, 5 filas de muestra. Ficha sin licencia: el campo license está vacío en la ficha del portal; revisar si hay términos generales del portal antes de integrar.</t>
  </si>
  <si>
    <t xml:space="preserve">F83</t>
  </si>
  <si>
    <t xml:space="preserve">Datos abiertos de Orlando · Code Enforcement Cases (k6e8-nw6w)</t>
  </si>
  <si>
    <t xml:space="preserve">https://data.cityoforlando.net/resource/k6e8-nw6w.json</t>
  </si>
  <si>
    <t xml:space="preserve">Últimos 5 años móviles (según la descripción del portal); actualizado hasta 2026-10-05</t>
  </si>
  <si>
    <t xml:space="preserve">Prioridad alta. «Case Name», «Case Comments» y «Add By» pueden traer nombres: revisar una muestra antes de decidir. Para publicar, agregar por barrio. Prueba 2026-10-06 (script del grupo): HTTP 200, JSON, 5 filas de muestra. Ficha sin licencia: el campo license está vacío en la ficha del portal; revisar si hay términos generales del portal antes de integrar.</t>
  </si>
  <si>
    <t xml:space="preserve">F84</t>
  </si>
  <si>
    <t xml:space="preserve">Datos abiertos de Orlando · BEWES Building Data (f63n-kp6t)</t>
  </si>
  <si>
    <t xml:space="preserve">https://data.cityoforlando.net/resource/f63n-kp6t.json</t>
  </si>
  <si>
    <t xml:space="preserve">Inicio por verificar; actualizado hasta 2024-05-06</t>
  </si>
  <si>
    <t xml:space="preserve">Prioridad baja. Energía de edificios; revisar el campo «Property Notes». DATO VIEJO: sin cambios desde 2024-05-06. Prueba 2026-10-06 (script del grupo): HTTP 200, JSON, 5 filas de muestra. Ficha sin licencia: el campo license está vacío en la ficha del portal; revisar si hay términos generales del portal antes de integrar.</t>
  </si>
  <si>
    <t xml:space="preserve">F85</t>
  </si>
  <si>
    <t xml:space="preserve">Datos abiertos de Orlando · Short Term Rental Licenses (ssrj-rbua)</t>
  </si>
  <si>
    <t xml:space="preserve">https://data.cityoforlando.net/resource/ssrj-rbua.json</t>
  </si>
  <si>
    <t xml:space="preserve">Prioridad media. Trae nombre, correo, teléfono y dirección de titulares y propietarios: agregar por zona y quitar esos campos. Atribución que declara el portal: City of Orlando. Prueba 2026-10-06 (script del grupo): HTTP 200, JSON, 5 filas de muestra. Ficha sin licencia: el campo license está vacío en la ficha del portal; revisar si hay términos generales del portal antes de integrar.</t>
  </si>
  <si>
    <t xml:space="preserve">F86</t>
  </si>
  <si>
    <t xml:space="preserve">Datos abiertos de Orlando · Planning Applications (bhxy-4rji)</t>
  </si>
  <si>
    <t xml:space="preserve">https://data.cityoforlando.net/resource/bhxy-4rji.json</t>
  </si>
  <si>
    <t xml:space="preserve">Prioridad alta. «Applicant» y «Application Comments» pueden traer nombres: revisar una muestra. «Commissioner Name» es un cargo público. Atribución que declara el portal: City of Orlando. Prueba 2026-10-06 (script del grupo): HTTP 200, JSON, 5 filas de muestra. Ficha sin licencia: el campo license está vacío en la ficha del portal; revisar si hay términos generales del portal antes de integrar.</t>
  </si>
  <si>
    <t xml:space="preserve">F87</t>
  </si>
  <si>
    <t xml:space="preserve">Datos abiertos de Orlando · Lobbyist Listings (hjcw-y8yw)</t>
  </si>
  <si>
    <t xml:space="preserve">https://data.cityoforlando.net/resource/hjcw-y8yw.json</t>
  </si>
  <si>
    <t xml:space="preserve">Inicio por verificar; actualizado hasta 2021-11-22</t>
  </si>
  <si>
    <t xml:space="preserve">Prioridad baja. Nombre y apellido de cabilderos registrados; 4 columnas. DATO VIEJO: sin cambios desde 2021-11-22. Prueba 2026-10-06 (script del grupo): HTTP 200, JSON, 5 filas de muestra. Ficha sin licencia: el campo license está vacío en la ficha del portal; revisar si hay términos generales del portal antes de integrar.</t>
  </si>
  <si>
    <t xml:space="preserve">F88</t>
  </si>
  <si>
    <t xml:space="preserve">Datos abiertos de Orlando · Orlando City Limits (adpi-29a3)</t>
  </si>
  <si>
    <t xml:space="preserve">https://data.cityoforlando.net/resource/adpi-29a3.json</t>
  </si>
  <si>
    <t xml:space="preserve">Inicio por verificar; actualizado hasta 2026-07-09</t>
  </si>
  <si>
    <t xml:space="preserve">Prioridad alta (territorio). Límite de la ciudad; versión nueva, preferirla a vs54-42b5. Prueba 2026-10-06 (script del grupo): HTTP 200, JSON, 1 filas de muestra. Ficha sin licencia: el campo license está vacío en la ficha del portal; revisar si hay términos generales del portal antes de integrar.</t>
  </si>
  <si>
    <t xml:space="preserve">F89</t>
  </si>
  <si>
    <t xml:space="preserve">Datos abiertos de Orlando · Use Permit Applications: Right of Way, Sidewalk Café (6sbc-v4b9)</t>
  </si>
  <si>
    <t xml:space="preserve">https://data.cityoforlando.net/resource/6sbc-v4b9.json</t>
  </si>
  <si>
    <t xml:space="preserve">Prioridad baja. Trae nombre, correo y teléfono de contacto: no entra tal cual. Prueba 2026-10-06 (script del grupo): HTTP 200, JSON, 5 filas de muestra. Ficha sin licencia: el campo license está vacío en la ficha del portal; revisar si hay términos generales del portal antes de integrar.</t>
  </si>
  <si>
    <t xml:space="preserve">F90</t>
  </si>
  <si>
    <t xml:space="preserve">Datos abiertos de Orlando · Orlando Neighborhoods (yskk-n7cw)</t>
  </si>
  <si>
    <t xml:space="preserve">https://data.cityoforlando.net/resource/yskk-n7cw.json</t>
  </si>
  <si>
    <t xml:space="preserve">Inicio por verificar; actualizado hasta 2026-07-08</t>
  </si>
  <si>
    <t xml:space="preserve">Prioridad alta (territorio). Barrios; versión nueva, preferirla a ehcf-27e5. Prueba 2026-10-06 (script del grupo): HTTP 200, JSON, 5 filas de muestra. Ficha sin licencia: el campo license está vacío en la ficha del portal; revisar si hay términos generales del portal antes de integrar.</t>
  </si>
  <si>
    <t xml:space="preserve">F91</t>
  </si>
  <si>
    <t xml:space="preserve">Datos abiertos de Orlando · OrlandoCityLimits (vs54-42b5)</t>
  </si>
  <si>
    <t xml:space="preserve">https://data.cityoforlando.net/resource/vs54-42b5.json</t>
  </si>
  <si>
    <t xml:space="preserve">Inicio por verificar; actualizado hasta 2020-11-06</t>
  </si>
  <si>
    <t xml:space="preserve">Sugerida descartar: duplicado más viejo del límite de la ciudad (usar adpi-29a3). DATO VIEJO: sin cambios desde 2020-11-06. Prueba 2026-10-06 (script del grupo): HTTP 200, JSON, 1 filas de muestra. Ficha sin licencia: el campo license está vacío en la ficha del portal; revisar si hay términos generales del portal antes de integrar.</t>
  </si>
  <si>
    <t xml:space="preserve">F92</t>
  </si>
  <si>
    <t xml:space="preserve">Datos abiertos de Orlando · OPD Districts (qptt-zrhf)</t>
  </si>
  <si>
    <t xml:space="preserve">https://data.cityoforlando.net/resource/qptt-zrhf.json</t>
  </si>
  <si>
    <t xml:space="preserve">Inicio por verificar; actualizado hasta 2023-06-07</t>
  </si>
  <si>
    <t xml:space="preserve">Prioridad media (territorio). Distritos de la policía. DATO VIEJO: sin cambios desde 2023-06-07. Prueba 2026-10-06 (script del grupo): HTTP 200, JSON, 5 filas de muestra. Ficha sin licencia: el campo license está vacío en la ficha del portal; revisar si hay términos generales del portal antes de integrar.</t>
  </si>
  <si>
    <t xml:space="preserve">F93</t>
  </si>
  <si>
    <t xml:space="preserve">Datos abiertos de Orlando · OrlandoHydrology (j3uy-fhhx)</t>
  </si>
  <si>
    <t xml:space="preserve">https://data.cityoforlando.net/resource/j3uy-fhhx.json</t>
  </si>
  <si>
    <t xml:space="preserve">Inicio por verificar; actualizado hasta 2016-03-24</t>
  </si>
  <si>
    <t xml:space="preserve">Prioridad baja. Cuerpos de agua dentro de la ciudad. DATO VIEJO: sin cambios desde 2016-03-24. Prueba 2026-10-06 (script del grupo): HTTP 200, JSON, 5 filas de muestra. Ficha sin licencia: el campo license está vacío en la ficha del portal; revisar si hay términos generales del portal antes de integrar.</t>
  </si>
  <si>
    <t xml:space="preserve">F94</t>
  </si>
  <si>
    <t xml:space="preserve">Datos abiertos de Orlando · Orlando Commissioner Districts (iy8d-dzv4)</t>
  </si>
  <si>
    <t xml:space="preserve">https://data.cityoforlando.net/resource/iy8d-dzv4.json</t>
  </si>
  <si>
    <t xml:space="preserve">Inicio por verificar; actualizado hasta 2026-05-05</t>
  </si>
  <si>
    <t xml:space="preserve">Prioridad media (territorio). Distritos de comisionados; la columna «Commissioner Name» trae nombres de funcionarios electos. Prueba 2026-10-06 (script del grupo): HTTP 200, JSON, 5 filas de muestra. Ficha sin licencia: el campo license está vacío en la ficha del portal; revisar si hay términos generales del portal antes de integrar.</t>
  </si>
  <si>
    <t xml:space="preserve">F95</t>
  </si>
  <si>
    <t xml:space="preserve">Datos abiertos de Orlando · OrlandoStreetCenterlines (dnki-2im5)</t>
  </si>
  <si>
    <t xml:space="preserve">https://data.cityoforlando.net/resource/dnki-2im5.json</t>
  </si>
  <si>
    <t xml:space="preserve">Prioridad baja. Ejes de calles; dato viejo. DATO VIEJO: sin cambios desde 2020-11-06. Prueba 2026-10-06 (script del grupo): HTTP 200, JSON, 5 filas de muestra. Ficha sin licencia: el campo license está vacío en la ficha del portal; revisar si hay términos generales del portal antes de integrar.</t>
  </si>
  <si>
    <t xml:space="preserve">F96</t>
  </si>
  <si>
    <t xml:space="preserve">Datos abiertos de Orlando · Orlando Annexations (jg52-dz4p)</t>
  </si>
  <si>
    <t xml:space="preserve">https://data.cityoforlando.net/resource/jg52-dz4p.json</t>
  </si>
  <si>
    <t xml:space="preserve">Prioridad baja. Anexiones de la ciudad. Prueba 2026-10-06 (script del grupo): HTTP 200, JSON, 5 filas de muestra. Ficha sin licencia: el campo license está vacío en la ficha del portal; revisar si hay términos generales del portal antes de integrar.</t>
  </si>
  <si>
    <t xml:space="preserve">F97</t>
  </si>
  <si>
    <t xml:space="preserve">Datos abiertos de Orlando · Election Timeline (2jmu-98fr)</t>
  </si>
  <si>
    <t xml:space="preserve">https://data.cityoforlando.net/resource/2jmu-98fr.json</t>
  </si>
  <si>
    <t xml:space="preserve">Inicio por verificar; actualizado hasta 2020-03-04</t>
  </si>
  <si>
    <t xml:space="preserve">Prioridad baja. Cronograma electoral de 2020. DATO VIEJO: sin cambios desde 2020-03-04. Prueba 2026-10-06 (script del grupo): HTTP 200, JSON, 2 filas de muestra. Ficha sin licencia: el campo license está vacío en la ficha del portal; revisar si hay términos generales del portal antes de integrar.</t>
  </si>
  <si>
    <t xml:space="preserve">F98</t>
  </si>
  <si>
    <t xml:space="preserve">Datos abiertos de Orlando · OrlandoNeighborhoods (ehcf-27e5)</t>
  </si>
  <si>
    <t xml:space="preserve">https://data.cityoforlando.net/resource/ehcf-27e5.json</t>
  </si>
  <si>
    <t xml:space="preserve">Sugerida descartar: duplicado más viejo de los barrios (usar yskk-n7cw). DATO VIEJO: sin cambios desde 2020-11-06. Prueba 2026-10-06 (script del grupo): HTTP 200, JSON, 5 filas de muestra. Ficha sin licencia: el campo license está vacío en la ficha del portal; revisar si hay términos generales del portal antes de integrar.</t>
  </si>
  <si>
    <t xml:space="preserve">F99</t>
  </si>
  <si>
    <t xml:space="preserve">Datos abiertos de Orlando · Urban Job Tax Credit Program (t6ka-5u7v)</t>
  </si>
  <si>
    <t xml:space="preserve">https://data.cityoforlando.net/resource/t6ka-5u7v.json</t>
  </si>
  <si>
    <t xml:space="preserve">Inicio por verificar; actualizado hasta 2021-08-25</t>
  </si>
  <si>
    <t xml:space="preserve">Prioridad baja. Áreas del programa de crédito tributario; 4 columnas. DATO VIEJO: sin cambios desde 2021-08-25. Atribución que declara el portal: Orlando EDV. Prueba 2026-10-06 (script del grupo): HTTP 200, JSON, 1 filas de muestra. Ficha sin licencia: el campo license está vacío en la ficha del portal; revisar si hay términos generales del portal antes de integrar.</t>
  </si>
  <si>
    <t xml:space="preserve">F100</t>
  </si>
  <si>
    <t xml:space="preserve">Datos abiertos de Orlando · OPD SubGrids (852k-nyqg)</t>
  </si>
  <si>
    <t xml:space="preserve">https://data.cityoforlando.net/resource/852k-nyqg.json</t>
  </si>
  <si>
    <t xml:space="preserve">Inicio por verificar; actualizado hasta 2021-07-24</t>
  </si>
  <si>
    <t xml:space="preserve">Prioridad media (territorio). Subcuadrantes de la policía. DATO VIEJO: sin cambios desde 2021-07-24. Prueba 2026-10-06 (script del grupo): HTTP 200, JSON, 5 filas de muestra. Ficha sin licencia: el campo license está vacío en la ficha del portal; revisar si hay términos generales del portal antes de integrar.</t>
  </si>
  <si>
    <t xml:space="preserve">F101</t>
  </si>
  <si>
    <t xml:space="preserve">Datos abiertos de Orlando · OPD Grids (m6e2-i9by)</t>
  </si>
  <si>
    <t xml:space="preserve">https://data.cityoforlando.net/resource/m6e2-i9by.json</t>
  </si>
  <si>
    <t xml:space="preserve">Prioridad media (territorio). Cuadrantes de la policía. DATO VIEJO: sin cambios desde 2021-07-24. Prueba 2026-10-06 (script del grupo): HTTP 200, JSON, 5 filas de muestra. Ficha sin licencia: el campo license está vacío en la ficha del portal; revisar si hay términos generales del portal antes de integrar.</t>
  </si>
  <si>
    <t xml:space="preserve">F102</t>
  </si>
  <si>
    <t xml:space="preserve">Datos abiertos de Orlando · OPD Divisions (ukjt-5sj3)</t>
  </si>
  <si>
    <t xml:space="preserve">https://data.cityoforlando.net/resource/ukjt-5sj3.json</t>
  </si>
  <si>
    <t xml:space="preserve">Inicio por verificar; actualizado hasta 2023-06-06</t>
  </si>
  <si>
    <t xml:space="preserve">Prioridad media (territorio). Divisiones de la policía. DATO VIEJO: sin cambios desde 2023-06-06. Prueba 2026-10-06 (script del grupo): HTTP 200, JSON, 5 filas de muestra. Ficha sin licencia: el campo license está vacío en la ficha del portal; revisar si hay términos generales del portal antes de integrar.</t>
  </si>
  <si>
    <t xml:space="preserve">F103</t>
  </si>
  <si>
    <t xml:space="preserve">Datos abiertos de Orlando · OrlandoCommissionDistrictDivider_2002_2012 (dtxu-3vh2)</t>
  </si>
  <si>
    <t xml:space="preserve">https://data.cityoforlando.net/resource/dtxu-3vh2.json</t>
  </si>
  <si>
    <t xml:space="preserve">Sugerida descartar: distritos de comisionados 2002 a 2012 (vigencia vencida); trae nombres de funcionarios. DATO VIEJO: sin cambios desde 2020-11-06. Prueba 2026-10-06 (script del grupo): HTTP 200, JSON, 5 filas de muestra. Ficha sin licencia: el campo license está vacío en la ficha del portal; revisar si hay términos generales del portal antes de integrar.</t>
  </si>
  <si>
    <t xml:space="preserve">F104</t>
  </si>
  <si>
    <t xml:space="preserve">Datos abiertos de Orlando · OPD Sectors (ah2i-qpc9)</t>
  </si>
  <si>
    <t xml:space="preserve">https://data.cityoforlando.net/resource/ah2i-qpc9.json</t>
  </si>
  <si>
    <t xml:space="preserve">Inicio por verificar; actualizado hasta 2023-03-07</t>
  </si>
  <si>
    <t xml:space="preserve">Prioridad media (territorio). Sectores de la policía. DATO VIEJO: sin cambios desde 2023-03-07. Prueba 2026-10-06 (script del grupo): HTTP 200, JSON, 5 filas de muestra. Ficha sin licencia: el campo license está vacío en la ficha del portal; revisar si hay términos generales del portal antes de integrar.</t>
  </si>
  <si>
    <t xml:space="preserve">F105</t>
  </si>
  <si>
    <t xml:space="preserve">Datos abiertos de Orlando · OPD Stations (83pd-zx8d)</t>
  </si>
  <si>
    <t xml:space="preserve">https://data.cityoforlando.net/resource/83pd-zx8d.json</t>
  </si>
  <si>
    <t xml:space="preserve">Prioridad baja. Estaciones de policía. DATO VIEJO: sin cambios desde 2021-07-24. Prueba 2026-10-06 (script del grupo): HTTP 200, JSON, 5 filas de muestra. Ficha sin licencia: el campo license está vacío en la ficha del portal; revisar si hay términos generales del portal antes de integrar.</t>
  </si>
  <si>
    <t xml:space="preserve">2. Diccionario de datos</t>
  </si>
  <si>
    <t xml:space="preserve">Una fila por campo que quedó en el lago. Si un campo del lago no aparece aquí, no existe.</t>
  </si>
  <si>
    <t xml:space="preserve">Archivo o tabla en el lago</t>
  </si>
  <si>
    <t xml:space="preserve">Nombre del campo en el lago</t>
  </si>
  <si>
    <t xml:space="preserve">Nombre original en la fuente</t>
  </si>
  <si>
    <t xml:space="preserve">Qué significa (en una frase)</t>
  </si>
  <si>
    <t xml:space="preserve">Tipo de dato</t>
  </si>
  <si>
    <t xml:space="preserve">Unidad de medida</t>
  </si>
  <si>
    <t xml:space="preserve">Ejemplo de valor</t>
  </si>
  <si>
    <t xml:space="preserve">¿Puede venir vacío?</t>
  </si>
  <si>
    <t xml:space="preserve">Valores permitidos o rango</t>
  </si>
  <si>
    <t xml:space="preserve">Clasificación</t>
  </si>
  <si>
    <t xml:space="preserve">Transformación que le hicieron</t>
  </si>
  <si>
    <t xml:space="preserve">Pregunta del sistema que ayuda a responder</t>
  </si>
  <si>
    <t xml:space="preserve">lago/escucha.json</t>
  </si>
  <si>
    <t xml:space="preserve">vistas_ultimo_mes</t>
  </si>
  <si>
    <t xml:space="preserve">views</t>
  </si>
  <si>
    <t xml:space="preserve">Vistas del artículo de la ciudad hechas por personas en el último mes completo</t>
  </si>
  <si>
    <t xml:space="preserve">Entero</t>
  </si>
  <si>
    <t xml:space="preserve">vistas de personas</t>
  </si>
  <si>
    <t xml:space="preserve">19552</t>
  </si>
  <si>
    <t xml:space="preserve">≥ 0</t>
  </si>
  <si>
    <t xml:space="preserve">Pública</t>
  </si>
  <si>
    <t xml:space="preserve">Se toma el último mes de la serie; la fecha AAAAMMDD se pasa a AAAA-MM</t>
  </si>
  <si>
    <t xml:space="preserve">¿Cuánto interés despierta la ciudad fuera de ella y cómo cambia en el año?</t>
  </si>
  <si>
    <t xml:space="preserve">3. Bitácora de la búsqueda con IA</t>
  </si>
  <si>
    <t xml:space="preserve">Qué le encargaron a la IA y qué pasó con lo que respondió. Incluyan los errores: valen tanto como los aciertos.</t>
  </si>
  <si>
    <t xml:space="preserve">#</t>
  </si>
  <si>
    <t xml:space="preserve">Herramienta de IA</t>
  </si>
  <si>
    <t xml:space="preserve">Qué le encargaron</t>
  </si>
  <si>
    <t xml:space="preserve">Qué respondió (resumen)</t>
  </si>
  <si>
    <t xml:space="preserve">Cómo lo comprobaron</t>
  </si>
  <si>
    <t xml:space="preserve">Resultado</t>
  </si>
  <si>
    <t xml:space="preserve">ID fuente que salió de ahí</t>
  </si>
  <si>
    <t xml:space="preserve">Qué aprendieron</t>
  </si>
  <si>
    <t xml:space="preserve">1</t>
  </si>
  <si>
    <t xml:space="preserve">Claude</t>
  </si>
  <si>
    <t xml:space="preserve">Encontrar una fuente abierta y sin llave que mida cuánto interés despierta Medellín fuera de la ciudad</t>
  </si>
  <si>
    <t xml:space="preserve">Propuso Google Trends y la API de vistas de Wikipedia</t>
  </si>
  <si>
    <t xml:space="preserve">Probamos las dos: Google Trends no tiene API abierta ni licencia de reutilización; la de Wikipedia respondió con curl y declara CC0</t>
  </si>
  <si>
    <t xml:space="preserve">Parcial</t>
  </si>
  <si>
    <t xml:space="preserve">Que la IA nombre una fuente no quiere decir que se pueda usar: la licencia y el acceso se comprueban uno mismo.</t>
  </si>
  <si>
    <t xml:space="preserve">Completar la hoja de fuentes con las 64 fuentes del docx de Orlando y los 5 medios (cómo se obtiene, licencia, datos de personas, periodo, frecuencia, fecha de prueba, estado) y probar las más útiles</t>
  </si>
  <si>
    <t xml:space="preserve">Llenó las 69 filas con lo que sabe de memoria (celdas naranja). No pudo abrir ninguno de los sitios del docx: su red bloquea esos dominios (error 403, host_not_allowed). Sí leyó el repo del grupo (solo README, nada integrado) y descargó el índice de vacantes de Indeed Hiring Lab desde GitHub.</t>
  </si>
  <si>
    <t xml:space="preserve">Claude probó solo F70 (clonó el repo; licencia CC BY 4.0 en LICENSE y README; datos de Orlando del 2020-02-01 al 2026-09-25). Todo lo demás está sin verificar: el grupo debe abrir cada fuente, copiar la licencia tal como aparece y anotar la fecha de la prueba.</t>
  </si>
  <si>
    <t xml:space="preserve">Una IA sin acceso al sitio no puede dar la licencia «tal como aparece»: lo que dice es memoria y hay que comprobarlo. Lo que sí aportó fue una alternativa con licencia clara (F70) para una fuente que bloquea scripts (F19).</t>
  </si>
  <si>
    <t xml:space="preserve">Escribir un script para probar todas las URL de la hoja de fuentes desde la red del grupo</t>
  </si>
  <si>
    <t xml:space="preserve">Entregó probar_fuentes.py (pide el Excel, consulta cada URL y guarda un CSV con código HTTP, tipo de contenido y fecha).</t>
  </si>
  <si>
    <t xml:space="preserve">El grupo lo corrió el 2026-10-05 y entregó pruebas_fuentes.csv con 69 filas. Claude lo leyó: 49 dieron 200 con HTML, 1 dio 202, 14 dieron 403, 2 dieron 429 y 3 no conectaron (F04, F05 y F61).</t>
  </si>
  <si>
    <t xml:space="preserve">Correcto</t>
  </si>
  <si>
    <t xml:space="preserve">Un 200 en la página principal no demuestra que haya datos: todas las respuestas fueron HTML, así que ninguna cuenta aún como «descarga o API que respondió de verdad». Hay que probar el endpoint exacto de cada fuente.</t>
  </si>
  <si>
    <t xml:space="preserve">Proponer rutas reales de datos (APIs y descargas) para las fuentes más útiles, en vez de las páginas principales</t>
  </si>
  <si>
    <t xml:space="preserve">Propuso 8 endpoints de memoria (catálogo de Orlando, ACS, FRED, Zillow, Redfin, NWS, NOAA e Indeed Hiring Lab), con la advertencia de que no estaban probados.</t>
  </si>
  <si>
    <t xml:space="preserve">El grupo corrió probar_endpoints.py el 2026-10-05: 7 devolvieron datos reales (F01, F14, F41, F42, F57, F58, F70) y 1 devolvió una página HTML «Missing Key» (F12, Census).</t>
  </si>
  <si>
    <t xml:space="preserve">F01, F12, F14, F41, F42, F57, F58, F70</t>
  </si>
  <si>
    <t xml:space="preserve">La IA acertó las rutas, pero se equivocó en detalles que solo se ven al probar: dijo que la API de Census no pedía llave (la pide) y que Zillow arrancaba en 1996 (el archivo arranca en 2000). Lo que vale es el contenido real que devuelve la fuente.</t>
  </si>
  <si>
    <t xml:space="preserve">Leer las instrucciones completas del taller (docx) y ajustar la hoja de Fuentes a ellas</t>
  </si>
  <si>
    <t xml:space="preserve">Normalizó entidades y licencias a una lista cerrada, puso la fecha de prueba también en las fuentes que fallaron y añadió 8 candidatas de las familias que faltaban (lo que se dice, desde arriba, territorio).</t>
  </si>
  <si>
    <t xml:space="preserve">El grupo corrió probar_fuentes.py el 2026-10-06 sobre las 78 filas: F71, F73, F76, F77 y F78 respondieron con datos; F72 (GDELT) dio 429, F74 (Overpass) dio 400 y F75 devolvió solo HTML.</t>
  </si>
  <si>
    <t xml:space="preserve">F71, F72, F73, F74, F75, F76, F77, F78</t>
  </si>
  <si>
    <t xml:space="preserve">Antes de leer el taller, Claude había dejado sin fecha las fuentes que respondieron con HTML. El taller dice que la fecha es el día en que el enlace respondió, y que lo que falla también se anota con su fecha y error.</t>
  </si>
  <si>
    <t xml:space="preserve">Leer licencias_orlando.csv y pruebas_fuentes_v2.csv y agregar a Fuentes los 27 datasets de Orlando</t>
  </si>
  <si>
    <t xml:space="preserve">Dijo que la licencia de cada dataset estaba en su ficha del portal (/api/views/&lt;id&gt;.json) y armó el script para leerla. Con los resultados agregó 27 filas (F79 a F105).</t>
  </si>
  <si>
    <t xml:space="preserve">El grupo corrió licencias_orlando.py el 2026-10-06: los 27 datasets respondieron 200 con JSON y filas, pero el campo de licencia salió vacío en los 27.</t>
  </si>
  <si>
    <t xml:space="preserve">F79 a F105</t>
  </si>
  <si>
    <t xml:space="preserve">La ruta funcionó pero la licencia no estaba: un campo vacío es una respuesta, y se escribe «no declara» sin suponer nada. Que un portal abierto responda no quiere decir que declare una licencia.</t>
  </si>
  <si>
    <t xml:space="preserve">Resumen del lago</t>
  </si>
  <si>
    <t xml:space="preserve">Se calcula solo desde las otras hojas; no cuenta las filas de ejemplo (fila 4).</t>
  </si>
  <si>
    <t xml:space="preserve">Fuentes registradas</t>
  </si>
  <si>
    <t xml:space="preserve">  · integradas al lago</t>
  </si>
  <si>
    <t xml:space="preserve">  · candidatas</t>
  </si>
  <si>
    <t xml:space="preserve">  · que no responden</t>
  </si>
  <si>
    <t xml:space="preserve">  · que no existen (inventadas por la IA)</t>
  </si>
  <si>
    <t xml:space="preserve">  · descartadas</t>
  </si>
  <si>
    <t xml:space="preserve">Fuentes con licencia «no declara» o vacía</t>
  </si>
  <si>
    <t xml:space="preserve">Fuentes con personas identificables o texto libre</t>
  </si>
  <si>
    <t xml:space="preserve">Campos en el diccionario</t>
  </si>
  <si>
    <t xml:space="preserve">  · clasificados como sensibles o dato personal</t>
  </si>
  <si>
    <t xml:space="preserve">  · sin pregunta del sistema asociada</t>
  </si>
  <si>
    <t xml:space="preserve">Encargos a la IA registrados</t>
  </si>
  <si>
    <t xml:space="preserve">  · con respuesta incorrecta o inventada</t>
  </si>
  <si>
    <t xml:space="preserve">Porcentaje de aciertos plenos de la IA</t>
  </si>
</sst>
</file>

<file path=xl/styles.xml><?xml version="1.0" encoding="utf-8"?>
<styleSheet xmlns="http://schemas.openxmlformats.org/spreadsheetml/2006/main">
  <numFmts count="3">
    <numFmt numFmtId="164" formatCode="General"/>
    <numFmt numFmtId="165" formatCode="General"/>
    <numFmt numFmtId="166" formatCode="0%"/>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Arial"/>
      <family val="2"/>
      <charset val="1"/>
    </font>
    <font>
      <sz val="9"/>
      <color rgb="FF555555"/>
      <name val="Arial"/>
      <family val="2"/>
      <charset val="1"/>
    </font>
    <font>
      <sz val="10"/>
      <color rgb="FF000000"/>
      <name val="Arial"/>
      <family val="2"/>
      <charset val="1"/>
    </font>
    <font>
      <b val="true"/>
      <sz val="11"/>
      <color rgb="FF000000"/>
      <name val="Arial"/>
      <family val="2"/>
      <charset val="1"/>
    </font>
    <font>
      <b val="true"/>
      <sz val="14"/>
      <name val="Arial"/>
      <family val="2"/>
      <charset val="1"/>
    </font>
    <font>
      <i val="true"/>
      <sz val="9"/>
      <color rgb="FF555555"/>
      <name val="Arial"/>
      <family val="2"/>
      <charset val="1"/>
    </font>
    <font>
      <b val="true"/>
      <sz val="10"/>
      <color rgb="FFFFFFFF"/>
      <name val="Arial"/>
      <family val="2"/>
      <charset val="1"/>
    </font>
    <font>
      <i val="true"/>
      <sz val="9"/>
      <color rgb="FF666666"/>
      <name val="Arial"/>
      <family val="2"/>
      <charset val="1"/>
    </font>
    <font>
      <sz val="10"/>
      <name val="Arial"/>
      <family val="2"/>
      <charset val="1"/>
    </font>
    <font>
      <b val="true"/>
      <sz val="10"/>
      <name val="Arial"/>
      <family val="2"/>
      <charset val="1"/>
    </font>
  </fonts>
  <fills count="6">
    <fill>
      <patternFill patternType="none"/>
    </fill>
    <fill>
      <patternFill patternType="gray125"/>
    </fill>
    <fill>
      <patternFill patternType="solid">
        <fgColor rgb="FFFFF7CC"/>
        <bgColor rgb="FFFCE4D6"/>
      </patternFill>
    </fill>
    <fill>
      <patternFill patternType="solid">
        <fgColor rgb="FF1F1F1F"/>
        <bgColor rgb="FF333300"/>
      </patternFill>
    </fill>
    <fill>
      <patternFill patternType="solid">
        <fgColor rgb="FFEDEDED"/>
        <bgColor rgb="FFFCE4D6"/>
      </patternFill>
    </fill>
    <fill>
      <patternFill patternType="solid">
        <fgColor rgb="FFFCE4D6"/>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8.859375" defaultRowHeight="15" zeroHeight="false" outlineLevelRow="0" outlineLevelCol="0"/>
  <cols>
    <col collapsed="false" customWidth="true" hidden="false" outlineLevel="0" max="1" min="1" style="1" width="4"/>
    <col collapsed="false" customWidth="true" hidden="false" outlineLevel="0" max="2" min="2" style="1" width="110"/>
  </cols>
  <sheetData>
    <row r="1" customFormat="false" ht="18" hidden="false" customHeight="true" outlineLevel="0" collapsed="false">
      <c r="B1" s="2" t="s">
        <v>0</v>
      </c>
    </row>
    <row r="2" customFormat="false" ht="15" hidden="false" customHeight="true" outlineLevel="0" collapsed="false">
      <c r="B2" s="3" t="s">
        <v>1</v>
      </c>
    </row>
    <row r="3" customFormat="false" ht="15" hidden="false" customHeight="true" outlineLevel="0" collapsed="false">
      <c r="B3" s="4"/>
    </row>
    <row r="4" customFormat="false" ht="15" hidden="false" customHeight="true" outlineLevel="0" collapsed="false">
      <c r="B4" s="5" t="s">
        <v>2</v>
      </c>
    </row>
    <row r="5" customFormat="false" ht="15" hidden="false" customHeight="true" outlineLevel="0" collapsed="false">
      <c r="B5" s="6" t="s">
        <v>3</v>
      </c>
    </row>
    <row r="6" customFormat="false" ht="15" hidden="false" customHeight="true" outlineLevel="0" collapsed="false">
      <c r="B6" s="6" t="s">
        <v>4</v>
      </c>
    </row>
    <row r="7" customFormat="false" ht="15" hidden="false" customHeight="true" outlineLevel="0" collapsed="false">
      <c r="B7" s="6" t="s">
        <v>5</v>
      </c>
    </row>
    <row r="8" customFormat="false" ht="15" hidden="false" customHeight="true" outlineLevel="0" collapsed="false">
      <c r="B8" s="4"/>
    </row>
    <row r="9" customFormat="false" ht="15" hidden="false" customHeight="true" outlineLevel="0" collapsed="false">
      <c r="B9" s="5" t="s">
        <v>6</v>
      </c>
    </row>
    <row r="10" customFormat="false" ht="26.25" hidden="false" customHeight="true" outlineLevel="0" collapsed="false">
      <c r="B10" s="4" t="s">
        <v>7</v>
      </c>
    </row>
    <row r="11" customFormat="false" ht="15" hidden="false" customHeight="true" outlineLevel="0" collapsed="false">
      <c r="B11" s="4" t="s">
        <v>8</v>
      </c>
    </row>
    <row r="12" customFormat="false" ht="15" hidden="false" customHeight="true" outlineLevel="0" collapsed="false">
      <c r="B12" s="4" t="s">
        <v>9</v>
      </c>
    </row>
    <row r="13" customFormat="false" ht="15" hidden="false" customHeight="true" outlineLevel="0" collapsed="false">
      <c r="B13" s="4" t="s">
        <v>10</v>
      </c>
    </row>
    <row r="14" customFormat="false" ht="15" hidden="false" customHeight="true" outlineLevel="0" collapsed="false">
      <c r="B14" s="4"/>
    </row>
    <row r="15" customFormat="false" ht="15" hidden="false" customHeight="true" outlineLevel="0" collapsed="false">
      <c r="B15" s="5" t="s">
        <v>11</v>
      </c>
    </row>
    <row r="16" customFormat="false" ht="26.25" hidden="false" customHeight="true" outlineLevel="0" collapsed="false">
      <c r="B16" s="4" t="s">
        <v>12</v>
      </c>
    </row>
    <row r="17" customFormat="false" ht="15" hidden="false" customHeight="true" outlineLevel="0" collapsed="false">
      <c r="B17" s="4" t="s">
        <v>13</v>
      </c>
    </row>
    <row r="18" customFormat="false" ht="15" hidden="false" customHeight="true" outlineLevel="0" collapsed="false">
      <c r="B18" s="4" t="s">
        <v>14</v>
      </c>
    </row>
    <row r="19" customFormat="false" ht="15" hidden="false" customHeight="true" outlineLevel="0" collapsed="false">
      <c r="B19" s="4" t="s">
        <v>15</v>
      </c>
    </row>
    <row r="20" customFormat="false" ht="15" hidden="false" customHeight="true" outlineLevel="0" collapsed="false">
      <c r="B20" s="4" t="s">
        <v>16</v>
      </c>
    </row>
    <row r="21" customFormat="false" ht="15" hidden="false" customHeight="true" outlineLevel="0" collapsed="false">
      <c r="B21" s="4" t="s">
        <v>17</v>
      </c>
    </row>
    <row r="23" customFormat="false" ht="15" hidden="false" customHeight="true" outlineLevel="0" collapsed="false">
      <c r="B23" s="7" t="s">
        <v>18</v>
      </c>
    </row>
    <row r="24" customFormat="false" ht="23.25" hidden="false" customHeight="true" outlineLevel="0" collapsed="false">
      <c r="B24" s="4" t="s">
        <v>19</v>
      </c>
    </row>
    <row r="25" customFormat="false" ht="23.25" hidden="false" customHeight="true" outlineLevel="0" collapsed="false">
      <c r="B25" s="4" t="s">
        <v>20</v>
      </c>
    </row>
    <row r="26" customFormat="false" ht="34.5" hidden="false" customHeight="true" outlineLevel="0" collapsed="false">
      <c r="B26" s="4" t="s">
        <v>21</v>
      </c>
    </row>
    <row r="27" customFormat="false" ht="23.25" hidden="false" customHeight="true" outlineLevel="0" collapsed="false">
      <c r="B27" s="4"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859375" defaultRowHeight="15" zeroHeight="false" outlineLevelRow="0" outlineLevelCol="0"/>
  <cols>
    <col collapsed="false" customWidth="true" hidden="false" outlineLevel="0" max="1" min="1" style="1" width="9"/>
    <col collapsed="false" customWidth="true" hidden="false" outlineLevel="0" max="2" min="2" style="1" width="28"/>
    <col collapsed="false" customWidth="true" hidden="false" outlineLevel="0" max="3" min="3" style="1" width="22"/>
    <col collapsed="false" customWidth="true" hidden="false" outlineLevel="0" max="4" min="4" style="1" width="18"/>
    <col collapsed="false" customWidth="true" hidden="false" outlineLevel="0" max="5" min="5" style="1" width="36"/>
    <col collapsed="false" customWidth="true" hidden="false" outlineLevel="0" max="6" min="6" style="1" width="12"/>
    <col collapsed="false" customWidth="true" hidden="false" outlineLevel="0" max="7" min="7" style="1" width="18"/>
    <col collapsed="false" customWidth="true" hidden="false" outlineLevel="0" max="8" min="8" style="1" width="22"/>
    <col collapsed="false" customWidth="true" hidden="false" outlineLevel="0" max="9" min="9" style="1" width="18"/>
    <col collapsed="false" customWidth="true" hidden="false" outlineLevel="0" max="10" min="10" style="1" width="16"/>
    <col collapsed="false" customWidth="true" hidden="false" outlineLevel="0" max="13" min="11" style="1" width="14"/>
    <col collapsed="false" customWidth="true" hidden="false" outlineLevel="0" max="14" min="14" style="1" width="20"/>
    <col collapsed="false" customWidth="true" hidden="false" outlineLevel="0" max="15" min="15" style="1" width="26"/>
    <col collapsed="false" customWidth="true" hidden="false" outlineLevel="0" max="16" min="16" style="1" width="32"/>
  </cols>
  <sheetData>
    <row r="1" customFormat="false" ht="18" hidden="false" customHeight="true" outlineLevel="0" collapsed="false">
      <c r="A1" s="8" t="s">
        <v>23</v>
      </c>
    </row>
    <row r="2" customFormat="false" ht="15" hidden="false" customHeight="true" outlineLevel="0" collapsed="false">
      <c r="A2" s="9" t="s">
        <v>24</v>
      </c>
    </row>
    <row r="3" customFormat="false" ht="42" hidden="false" customHeight="true" outlineLevel="0" collapsed="false">
      <c r="A3" s="10" t="s">
        <v>25</v>
      </c>
      <c r="B3" s="10" t="s">
        <v>26</v>
      </c>
      <c r="C3" s="10" t="s">
        <v>27</v>
      </c>
      <c r="D3" s="10" t="s">
        <v>28</v>
      </c>
      <c r="E3" s="10" t="s">
        <v>29</v>
      </c>
      <c r="F3" s="10" t="s">
        <v>30</v>
      </c>
      <c r="G3" s="10" t="s">
        <v>31</v>
      </c>
      <c r="H3" s="10" t="s">
        <v>32</v>
      </c>
      <c r="I3" s="10" t="s">
        <v>33</v>
      </c>
      <c r="J3" s="10" t="s">
        <v>34</v>
      </c>
      <c r="K3" s="10" t="s">
        <v>35</v>
      </c>
      <c r="L3" s="10" t="s">
        <v>36</v>
      </c>
      <c r="M3" s="10" t="s">
        <v>37</v>
      </c>
      <c r="N3" s="10" t="s">
        <v>38</v>
      </c>
      <c r="O3" s="10" t="s">
        <v>39</v>
      </c>
      <c r="P3" s="10" t="s">
        <v>40</v>
      </c>
    </row>
    <row r="4" customFormat="false" ht="48" hidden="false" customHeight="true" outlineLevel="0" collapsed="false">
      <c r="A4" s="11" t="s">
        <v>41</v>
      </c>
      <c r="B4" s="11" t="s">
        <v>42</v>
      </c>
      <c r="C4" s="11" t="s">
        <v>43</v>
      </c>
      <c r="D4" s="11" t="s">
        <v>44</v>
      </c>
      <c r="E4" s="11" t="s">
        <v>45</v>
      </c>
      <c r="F4" s="11" t="s">
        <v>46</v>
      </c>
      <c r="G4" s="11" t="s">
        <v>47</v>
      </c>
      <c r="H4" s="11" t="s">
        <v>48</v>
      </c>
      <c r="I4" s="11" t="s">
        <v>49</v>
      </c>
      <c r="J4" s="11" t="s">
        <v>50</v>
      </c>
      <c r="K4" s="11" t="s">
        <v>51</v>
      </c>
      <c r="L4" s="11" t="s">
        <v>52</v>
      </c>
      <c r="M4" s="11" t="s">
        <v>53</v>
      </c>
      <c r="N4" s="11" t="s">
        <v>54</v>
      </c>
      <c r="O4" s="11" t="s">
        <v>55</v>
      </c>
      <c r="P4" s="11" t="s">
        <v>56</v>
      </c>
    </row>
    <row r="5" customFormat="false" ht="57" hidden="false" customHeight="true" outlineLevel="0" collapsed="false">
      <c r="A5" s="12" t="s">
        <v>41</v>
      </c>
      <c r="B5" s="12" t="s">
        <v>57</v>
      </c>
      <c r="C5" s="12" t="s">
        <v>58</v>
      </c>
      <c r="D5" s="12" t="s">
        <v>59</v>
      </c>
      <c r="E5" s="12" t="s">
        <v>60</v>
      </c>
      <c r="F5" s="12" t="s">
        <v>61</v>
      </c>
      <c r="G5" s="12" t="s">
        <v>47</v>
      </c>
      <c r="H5" s="12"/>
      <c r="I5" s="13" t="s">
        <v>62</v>
      </c>
      <c r="J5" s="12" t="s">
        <v>58</v>
      </c>
      <c r="K5" s="13" t="s">
        <v>63</v>
      </c>
      <c r="L5" s="13" t="s">
        <v>64</v>
      </c>
      <c r="M5" s="12" t="s">
        <v>65</v>
      </c>
      <c r="N5" s="12" t="s">
        <v>66</v>
      </c>
      <c r="O5" s="12" t="s">
        <v>67</v>
      </c>
      <c r="P5" s="12" t="s">
        <v>68</v>
      </c>
    </row>
    <row r="6" customFormat="false" ht="57" hidden="false" customHeight="true" outlineLevel="0" collapsed="false">
      <c r="A6" s="12" t="s">
        <v>69</v>
      </c>
      <c r="B6" s="12" t="s">
        <v>70</v>
      </c>
      <c r="C6" s="12" t="s">
        <v>58</v>
      </c>
      <c r="D6" s="12" t="s">
        <v>59</v>
      </c>
      <c r="E6" s="12" t="s">
        <v>71</v>
      </c>
      <c r="F6" s="12" t="s">
        <v>72</v>
      </c>
      <c r="G6" s="13" t="s">
        <v>73</v>
      </c>
      <c r="H6" s="12"/>
      <c r="I6" s="13" t="s">
        <v>49</v>
      </c>
      <c r="J6" s="12" t="s">
        <v>58</v>
      </c>
      <c r="K6" s="13" t="s">
        <v>63</v>
      </c>
      <c r="L6" s="13" t="s">
        <v>64</v>
      </c>
      <c r="M6" s="12" t="s">
        <v>65</v>
      </c>
      <c r="N6" s="12" t="s">
        <v>66</v>
      </c>
      <c r="O6" s="12" t="s">
        <v>74</v>
      </c>
      <c r="P6" s="12" t="s">
        <v>75</v>
      </c>
    </row>
    <row r="7" customFormat="false" ht="57" hidden="false" customHeight="true" outlineLevel="0" collapsed="false">
      <c r="A7" s="12" t="s">
        <v>76</v>
      </c>
      <c r="B7" s="12" t="s">
        <v>77</v>
      </c>
      <c r="C7" s="12" t="s">
        <v>78</v>
      </c>
      <c r="D7" s="12" t="s">
        <v>59</v>
      </c>
      <c r="E7" s="12" t="s">
        <v>79</v>
      </c>
      <c r="F7" s="12" t="s">
        <v>72</v>
      </c>
      <c r="G7" s="13" t="s">
        <v>73</v>
      </c>
      <c r="H7" s="12"/>
      <c r="I7" s="13" t="s">
        <v>49</v>
      </c>
      <c r="J7" s="12" t="s">
        <v>80</v>
      </c>
      <c r="K7" s="13" t="s">
        <v>63</v>
      </c>
      <c r="L7" s="13" t="s">
        <v>64</v>
      </c>
      <c r="M7" s="12" t="s">
        <v>65</v>
      </c>
      <c r="N7" s="12" t="s">
        <v>66</v>
      </c>
      <c r="O7" s="12" t="s">
        <v>81</v>
      </c>
      <c r="P7" s="12" t="s">
        <v>82</v>
      </c>
    </row>
    <row r="8" customFormat="false" ht="57" hidden="false" customHeight="true" outlineLevel="0" collapsed="false">
      <c r="A8" s="12" t="s">
        <v>83</v>
      </c>
      <c r="B8" s="12" t="s">
        <v>84</v>
      </c>
      <c r="C8" s="12" t="s">
        <v>85</v>
      </c>
      <c r="D8" s="12" t="s">
        <v>59</v>
      </c>
      <c r="E8" s="12" t="s">
        <v>86</v>
      </c>
      <c r="F8" s="12" t="s">
        <v>87</v>
      </c>
      <c r="G8" s="13" t="s">
        <v>88</v>
      </c>
      <c r="H8" s="12"/>
      <c r="I8" s="13" t="s">
        <v>89</v>
      </c>
      <c r="J8" s="12" t="s">
        <v>80</v>
      </c>
      <c r="K8" s="13" t="s">
        <v>63</v>
      </c>
      <c r="L8" s="13" t="s">
        <v>90</v>
      </c>
      <c r="M8" s="12" t="s">
        <v>65</v>
      </c>
      <c r="N8" s="12" t="s">
        <v>91</v>
      </c>
      <c r="O8" s="12" t="s">
        <v>92</v>
      </c>
      <c r="P8" s="12" t="s">
        <v>93</v>
      </c>
    </row>
    <row r="9" customFormat="false" ht="57" hidden="false" customHeight="true" outlineLevel="0" collapsed="false">
      <c r="A9" s="12" t="s">
        <v>94</v>
      </c>
      <c r="B9" s="12" t="s">
        <v>95</v>
      </c>
      <c r="C9" s="12" t="s">
        <v>96</v>
      </c>
      <c r="D9" s="12" t="s">
        <v>59</v>
      </c>
      <c r="E9" s="12" t="s">
        <v>97</v>
      </c>
      <c r="F9" s="12" t="s">
        <v>72</v>
      </c>
      <c r="G9" s="13" t="s">
        <v>73</v>
      </c>
      <c r="H9" s="12"/>
      <c r="I9" s="13" t="s">
        <v>89</v>
      </c>
      <c r="J9" s="12" t="s">
        <v>80</v>
      </c>
      <c r="K9" s="13" t="s">
        <v>63</v>
      </c>
      <c r="L9" s="13" t="s">
        <v>64</v>
      </c>
      <c r="M9" s="12" t="s">
        <v>65</v>
      </c>
      <c r="N9" s="12" t="s">
        <v>91</v>
      </c>
      <c r="O9" s="12" t="s">
        <v>98</v>
      </c>
      <c r="P9" s="12" t="s">
        <v>99</v>
      </c>
    </row>
    <row r="10" customFormat="false" ht="57" hidden="false" customHeight="true" outlineLevel="0" collapsed="false">
      <c r="A10" s="12" t="s">
        <v>100</v>
      </c>
      <c r="B10" s="12" t="s">
        <v>101</v>
      </c>
      <c r="C10" s="12" t="s">
        <v>102</v>
      </c>
      <c r="D10" s="12" t="s">
        <v>59</v>
      </c>
      <c r="E10" s="12" t="s">
        <v>103</v>
      </c>
      <c r="F10" s="12" t="s">
        <v>72</v>
      </c>
      <c r="G10" s="13" t="s">
        <v>73</v>
      </c>
      <c r="H10" s="12"/>
      <c r="I10" s="13" t="s">
        <v>104</v>
      </c>
      <c r="J10" s="12" t="s">
        <v>105</v>
      </c>
      <c r="K10" s="13" t="s">
        <v>63</v>
      </c>
      <c r="L10" s="13" t="s">
        <v>64</v>
      </c>
      <c r="M10" s="12" t="s">
        <v>65</v>
      </c>
      <c r="N10" s="12" t="s">
        <v>66</v>
      </c>
      <c r="O10" s="12" t="s">
        <v>106</v>
      </c>
      <c r="P10" s="12" t="s">
        <v>107</v>
      </c>
    </row>
    <row r="11" customFormat="false" ht="57" hidden="false" customHeight="true" outlineLevel="0" collapsed="false">
      <c r="A11" s="12" t="s">
        <v>108</v>
      </c>
      <c r="B11" s="12" t="s">
        <v>109</v>
      </c>
      <c r="C11" s="12" t="s">
        <v>110</v>
      </c>
      <c r="D11" s="12" t="s">
        <v>59</v>
      </c>
      <c r="E11" s="12" t="s">
        <v>111</v>
      </c>
      <c r="F11" s="12" t="s">
        <v>87</v>
      </c>
      <c r="G11" s="13" t="s">
        <v>88</v>
      </c>
      <c r="H11" s="12"/>
      <c r="I11" s="13" t="s">
        <v>89</v>
      </c>
      <c r="J11" s="12" t="s">
        <v>112</v>
      </c>
      <c r="K11" s="13" t="s">
        <v>63</v>
      </c>
      <c r="L11" s="13" t="s">
        <v>113</v>
      </c>
      <c r="M11" s="12" t="s">
        <v>65</v>
      </c>
      <c r="N11" s="12" t="s">
        <v>66</v>
      </c>
      <c r="O11" s="12" t="s">
        <v>114</v>
      </c>
      <c r="P11" s="12" t="s">
        <v>115</v>
      </c>
    </row>
    <row r="12" customFormat="false" ht="57" hidden="false" customHeight="true" outlineLevel="0" collapsed="false">
      <c r="A12" s="12" t="s">
        <v>116</v>
      </c>
      <c r="B12" s="12" t="s">
        <v>117</v>
      </c>
      <c r="C12" s="12" t="s">
        <v>118</v>
      </c>
      <c r="D12" s="12" t="s">
        <v>59</v>
      </c>
      <c r="E12" s="12" t="s">
        <v>119</v>
      </c>
      <c r="F12" s="12" t="s">
        <v>61</v>
      </c>
      <c r="G12" s="13" t="s">
        <v>88</v>
      </c>
      <c r="H12" s="12"/>
      <c r="I12" s="13" t="s">
        <v>89</v>
      </c>
      <c r="J12" s="12" t="s">
        <v>112</v>
      </c>
      <c r="K12" s="13" t="s">
        <v>63</v>
      </c>
      <c r="L12" s="13" t="s">
        <v>64</v>
      </c>
      <c r="M12" s="12" t="s">
        <v>65</v>
      </c>
      <c r="N12" s="12" t="s">
        <v>66</v>
      </c>
      <c r="O12" s="12" t="s">
        <v>120</v>
      </c>
      <c r="P12" s="12" t="s">
        <v>121</v>
      </c>
    </row>
    <row r="13" customFormat="false" ht="57" hidden="false" customHeight="true" outlineLevel="0" collapsed="false">
      <c r="A13" s="12" t="s">
        <v>122</v>
      </c>
      <c r="B13" s="12" t="s">
        <v>123</v>
      </c>
      <c r="C13" s="12" t="s">
        <v>124</v>
      </c>
      <c r="D13" s="12" t="s">
        <v>59</v>
      </c>
      <c r="E13" s="12" t="s">
        <v>125</v>
      </c>
      <c r="F13" s="12" t="s">
        <v>72</v>
      </c>
      <c r="G13" s="13" t="s">
        <v>73</v>
      </c>
      <c r="H13" s="12"/>
      <c r="I13" s="13" t="s">
        <v>49</v>
      </c>
      <c r="J13" s="12" t="s">
        <v>126</v>
      </c>
      <c r="K13" s="13" t="s">
        <v>63</v>
      </c>
      <c r="L13" s="13" t="s">
        <v>64</v>
      </c>
      <c r="M13" s="12" t="s">
        <v>65</v>
      </c>
      <c r="N13" s="12" t="s">
        <v>66</v>
      </c>
      <c r="O13" s="12" t="s">
        <v>127</v>
      </c>
      <c r="P13" s="12" t="s">
        <v>128</v>
      </c>
    </row>
    <row r="14" customFormat="false" ht="57" hidden="false" customHeight="true" outlineLevel="0" collapsed="false">
      <c r="A14" s="12" t="s">
        <v>129</v>
      </c>
      <c r="B14" s="12" t="s">
        <v>130</v>
      </c>
      <c r="C14" s="12" t="s">
        <v>131</v>
      </c>
      <c r="D14" s="12" t="s">
        <v>59</v>
      </c>
      <c r="E14" s="12" t="s">
        <v>132</v>
      </c>
      <c r="F14" s="12" t="s">
        <v>133</v>
      </c>
      <c r="G14" s="13" t="s">
        <v>73</v>
      </c>
      <c r="H14" s="12"/>
      <c r="I14" s="13" t="s">
        <v>49</v>
      </c>
      <c r="J14" s="12" t="s">
        <v>134</v>
      </c>
      <c r="K14" s="13" t="s">
        <v>63</v>
      </c>
      <c r="L14" s="13" t="s">
        <v>64</v>
      </c>
      <c r="M14" s="12" t="s">
        <v>65</v>
      </c>
      <c r="N14" s="12" t="s">
        <v>66</v>
      </c>
      <c r="O14" s="12" t="s">
        <v>135</v>
      </c>
      <c r="P14" s="12" t="s">
        <v>136</v>
      </c>
    </row>
    <row r="15" customFormat="false" ht="57" hidden="false" customHeight="true" outlineLevel="0" collapsed="false">
      <c r="A15" s="12" t="s">
        <v>137</v>
      </c>
      <c r="B15" s="12" t="s">
        <v>138</v>
      </c>
      <c r="C15" s="12" t="s">
        <v>139</v>
      </c>
      <c r="D15" s="12" t="s">
        <v>59</v>
      </c>
      <c r="E15" s="12" t="s">
        <v>140</v>
      </c>
      <c r="F15" s="12" t="s">
        <v>61</v>
      </c>
      <c r="G15" s="13" t="s">
        <v>88</v>
      </c>
      <c r="H15" s="13" t="s">
        <v>141</v>
      </c>
      <c r="I15" s="13" t="s">
        <v>104</v>
      </c>
      <c r="J15" s="12" t="s">
        <v>58</v>
      </c>
      <c r="K15" s="13" t="s">
        <v>63</v>
      </c>
      <c r="L15" s="13" t="s">
        <v>90</v>
      </c>
      <c r="M15" s="12" t="s">
        <v>65</v>
      </c>
      <c r="N15" s="12" t="s">
        <v>66</v>
      </c>
      <c r="O15" s="12" t="s">
        <v>142</v>
      </c>
      <c r="P15" s="12" t="s">
        <v>143</v>
      </c>
    </row>
    <row r="16" customFormat="false" ht="57" hidden="false" customHeight="true" outlineLevel="0" collapsed="false">
      <c r="A16" s="12" t="s">
        <v>144</v>
      </c>
      <c r="B16" s="12" t="s">
        <v>145</v>
      </c>
      <c r="C16" s="12" t="s">
        <v>139</v>
      </c>
      <c r="D16" s="12" t="s">
        <v>59</v>
      </c>
      <c r="E16" s="12" t="s">
        <v>146</v>
      </c>
      <c r="F16" s="12" t="s">
        <v>46</v>
      </c>
      <c r="G16" s="12" t="s">
        <v>147</v>
      </c>
      <c r="H16" s="13" t="s">
        <v>141</v>
      </c>
      <c r="I16" s="13" t="s">
        <v>104</v>
      </c>
      <c r="J16" s="12" t="s">
        <v>148</v>
      </c>
      <c r="K16" s="13" t="s">
        <v>149</v>
      </c>
      <c r="L16" s="13" t="s">
        <v>90</v>
      </c>
      <c r="M16" s="12" t="s">
        <v>65</v>
      </c>
      <c r="N16" s="12" t="s">
        <v>66</v>
      </c>
      <c r="O16" s="12" t="s">
        <v>150</v>
      </c>
      <c r="P16" s="12" t="s">
        <v>151</v>
      </c>
    </row>
    <row r="17" customFormat="false" ht="57" hidden="false" customHeight="true" outlineLevel="0" collapsed="false">
      <c r="A17" s="12" t="s">
        <v>152</v>
      </c>
      <c r="B17" s="12" t="s">
        <v>153</v>
      </c>
      <c r="C17" s="12" t="s">
        <v>154</v>
      </c>
      <c r="D17" s="12" t="s">
        <v>59</v>
      </c>
      <c r="E17" s="12" t="s">
        <v>155</v>
      </c>
      <c r="F17" s="12" t="s">
        <v>46</v>
      </c>
      <c r="G17" s="13" t="s">
        <v>147</v>
      </c>
      <c r="H17" s="13" t="s">
        <v>141</v>
      </c>
      <c r="I17" s="13" t="s">
        <v>104</v>
      </c>
      <c r="J17" s="12" t="s">
        <v>156</v>
      </c>
      <c r="K17" s="13" t="s">
        <v>157</v>
      </c>
      <c r="L17" s="13" t="s">
        <v>52</v>
      </c>
      <c r="M17" s="12" t="s">
        <v>65</v>
      </c>
      <c r="N17" s="12" t="s">
        <v>66</v>
      </c>
      <c r="O17" s="12" t="s">
        <v>158</v>
      </c>
      <c r="P17" s="12" t="s">
        <v>159</v>
      </c>
    </row>
    <row r="18" customFormat="false" ht="57" hidden="false" customHeight="true" outlineLevel="0" collapsed="false">
      <c r="A18" s="12" t="s">
        <v>160</v>
      </c>
      <c r="B18" s="12" t="s">
        <v>161</v>
      </c>
      <c r="C18" s="12" t="s">
        <v>162</v>
      </c>
      <c r="D18" s="12" t="s">
        <v>163</v>
      </c>
      <c r="E18" s="12" t="s">
        <v>164</v>
      </c>
      <c r="F18" s="12" t="s">
        <v>61</v>
      </c>
      <c r="G18" s="12" t="s">
        <v>88</v>
      </c>
      <c r="H18" s="12"/>
      <c r="I18" s="13" t="s">
        <v>49</v>
      </c>
      <c r="J18" s="12" t="s">
        <v>156</v>
      </c>
      <c r="K18" s="12" t="s">
        <v>165</v>
      </c>
      <c r="L18" s="12" t="s">
        <v>166</v>
      </c>
      <c r="M18" s="12" t="s">
        <v>65</v>
      </c>
      <c r="N18" s="12" t="s">
        <v>66</v>
      </c>
      <c r="O18" s="12" t="s">
        <v>167</v>
      </c>
      <c r="P18" s="12" t="s">
        <v>168</v>
      </c>
    </row>
    <row r="19" customFormat="false" ht="57" hidden="false" customHeight="true" outlineLevel="0" collapsed="false">
      <c r="A19" s="12" t="s">
        <v>169</v>
      </c>
      <c r="B19" s="12" t="s">
        <v>170</v>
      </c>
      <c r="C19" s="12" t="s">
        <v>171</v>
      </c>
      <c r="D19" s="12" t="s">
        <v>59</v>
      </c>
      <c r="E19" s="12" t="s">
        <v>172</v>
      </c>
      <c r="F19" s="12" t="s">
        <v>173</v>
      </c>
      <c r="G19" s="13" t="s">
        <v>88</v>
      </c>
      <c r="H19" s="12"/>
      <c r="I19" s="13" t="s">
        <v>104</v>
      </c>
      <c r="J19" s="12" t="s">
        <v>174</v>
      </c>
      <c r="K19" s="13" t="s">
        <v>63</v>
      </c>
      <c r="L19" s="13" t="s">
        <v>52</v>
      </c>
      <c r="M19" s="12" t="s">
        <v>65</v>
      </c>
      <c r="N19" s="12" t="s">
        <v>66</v>
      </c>
      <c r="O19" s="12" t="s">
        <v>175</v>
      </c>
      <c r="P19" s="12" t="s">
        <v>176</v>
      </c>
    </row>
    <row r="20" customFormat="false" ht="57" hidden="false" customHeight="true" outlineLevel="0" collapsed="false">
      <c r="A20" s="12" t="s">
        <v>177</v>
      </c>
      <c r="B20" s="12" t="s">
        <v>178</v>
      </c>
      <c r="C20" s="12" t="s">
        <v>179</v>
      </c>
      <c r="D20" s="12" t="s">
        <v>163</v>
      </c>
      <c r="E20" s="12" t="s">
        <v>180</v>
      </c>
      <c r="F20" s="12" t="s">
        <v>72</v>
      </c>
      <c r="G20" s="13" t="s">
        <v>73</v>
      </c>
      <c r="H20" s="12"/>
      <c r="I20" s="13" t="s">
        <v>49</v>
      </c>
      <c r="J20" s="12" t="s">
        <v>181</v>
      </c>
      <c r="K20" s="13" t="s">
        <v>63</v>
      </c>
      <c r="L20" s="13" t="s">
        <v>64</v>
      </c>
      <c r="M20" s="12" t="s">
        <v>65</v>
      </c>
      <c r="N20" s="12" t="s">
        <v>66</v>
      </c>
      <c r="O20" s="12" t="s">
        <v>182</v>
      </c>
      <c r="P20" s="12" t="s">
        <v>183</v>
      </c>
    </row>
    <row r="21" customFormat="false" ht="57" hidden="false" customHeight="true" outlineLevel="0" collapsed="false">
      <c r="A21" s="12" t="s">
        <v>184</v>
      </c>
      <c r="B21" s="12" t="s">
        <v>185</v>
      </c>
      <c r="C21" s="12" t="s">
        <v>186</v>
      </c>
      <c r="D21" s="12" t="s">
        <v>59</v>
      </c>
      <c r="E21" s="12" t="s">
        <v>187</v>
      </c>
      <c r="F21" s="12" t="s">
        <v>173</v>
      </c>
      <c r="G21" s="13" t="s">
        <v>88</v>
      </c>
      <c r="H21" s="13" t="s">
        <v>141</v>
      </c>
      <c r="I21" s="13" t="s">
        <v>49</v>
      </c>
      <c r="J21" s="12" t="s">
        <v>188</v>
      </c>
      <c r="K21" s="13" t="s">
        <v>189</v>
      </c>
      <c r="L21" s="13" t="s">
        <v>90</v>
      </c>
      <c r="M21" s="12" t="s">
        <v>65</v>
      </c>
      <c r="N21" s="12" t="s">
        <v>66</v>
      </c>
      <c r="O21" s="12" t="s">
        <v>190</v>
      </c>
      <c r="P21" s="12" t="s">
        <v>191</v>
      </c>
    </row>
    <row r="22" customFormat="false" ht="57" hidden="false" customHeight="true" outlineLevel="0" collapsed="false">
      <c r="A22" s="12" t="s">
        <v>192</v>
      </c>
      <c r="B22" s="12" t="s">
        <v>193</v>
      </c>
      <c r="C22" s="12" t="s">
        <v>194</v>
      </c>
      <c r="D22" s="12" t="s">
        <v>44</v>
      </c>
      <c r="E22" s="12" t="s">
        <v>195</v>
      </c>
      <c r="F22" s="12" t="s">
        <v>72</v>
      </c>
      <c r="G22" s="13" t="s">
        <v>73</v>
      </c>
      <c r="H22" s="12"/>
      <c r="I22" s="13" t="s">
        <v>49</v>
      </c>
      <c r="J22" s="12" t="s">
        <v>58</v>
      </c>
      <c r="K22" s="13" t="s">
        <v>63</v>
      </c>
      <c r="L22" s="13" t="s">
        <v>64</v>
      </c>
      <c r="M22" s="12" t="s">
        <v>65</v>
      </c>
      <c r="N22" s="12" t="s">
        <v>66</v>
      </c>
      <c r="O22" s="12" t="s">
        <v>196</v>
      </c>
      <c r="P22" s="12" t="s">
        <v>197</v>
      </c>
    </row>
    <row r="23" customFormat="false" ht="57" hidden="false" customHeight="true" outlineLevel="0" collapsed="false">
      <c r="A23" s="12" t="s">
        <v>198</v>
      </c>
      <c r="B23" s="12" t="s">
        <v>199</v>
      </c>
      <c r="C23" s="12" t="s">
        <v>200</v>
      </c>
      <c r="D23" s="12" t="s">
        <v>201</v>
      </c>
      <c r="E23" s="12" t="s">
        <v>202</v>
      </c>
      <c r="F23" s="12" t="s">
        <v>72</v>
      </c>
      <c r="G23" s="13" t="s">
        <v>203</v>
      </c>
      <c r="H23" s="12"/>
      <c r="I23" s="13" t="s">
        <v>62</v>
      </c>
      <c r="J23" s="12" t="s">
        <v>58</v>
      </c>
      <c r="K23" s="13" t="s">
        <v>204</v>
      </c>
      <c r="L23" s="13" t="s">
        <v>205</v>
      </c>
      <c r="M23" s="12" t="s">
        <v>65</v>
      </c>
      <c r="N23" s="12" t="s">
        <v>66</v>
      </c>
      <c r="O23" s="12" t="s">
        <v>206</v>
      </c>
      <c r="P23" s="12" t="s">
        <v>207</v>
      </c>
    </row>
    <row r="24" customFormat="false" ht="57" hidden="false" customHeight="true" outlineLevel="0" collapsed="false">
      <c r="A24" s="12" t="s">
        <v>208</v>
      </c>
      <c r="B24" s="12" t="s">
        <v>209</v>
      </c>
      <c r="C24" s="12" t="s">
        <v>210</v>
      </c>
      <c r="D24" s="12" t="s">
        <v>201</v>
      </c>
      <c r="E24" s="12" t="s">
        <v>211</v>
      </c>
      <c r="F24" s="12" t="s">
        <v>72</v>
      </c>
      <c r="G24" s="13" t="s">
        <v>203</v>
      </c>
      <c r="H24" s="12"/>
      <c r="I24" s="13" t="s">
        <v>62</v>
      </c>
      <c r="J24" s="12" t="s">
        <v>212</v>
      </c>
      <c r="K24" s="13" t="s">
        <v>63</v>
      </c>
      <c r="L24" s="13" t="s">
        <v>64</v>
      </c>
      <c r="M24" s="12" t="s">
        <v>65</v>
      </c>
      <c r="N24" s="12" t="s">
        <v>66</v>
      </c>
      <c r="O24" s="12" t="s">
        <v>213</v>
      </c>
      <c r="P24" s="12" t="s">
        <v>214</v>
      </c>
    </row>
    <row r="25" customFormat="false" ht="57" hidden="false" customHeight="true" outlineLevel="0" collapsed="false">
      <c r="A25" s="12" t="s">
        <v>215</v>
      </c>
      <c r="B25" s="12" t="s">
        <v>216</v>
      </c>
      <c r="C25" s="12" t="s">
        <v>217</v>
      </c>
      <c r="D25" s="12" t="s">
        <v>59</v>
      </c>
      <c r="E25" s="12" t="s">
        <v>218</v>
      </c>
      <c r="F25" s="12" t="s">
        <v>87</v>
      </c>
      <c r="G25" s="13" t="s">
        <v>88</v>
      </c>
      <c r="H25" s="12"/>
      <c r="I25" s="13" t="s">
        <v>49</v>
      </c>
      <c r="J25" s="12" t="s">
        <v>219</v>
      </c>
      <c r="K25" s="13" t="s">
        <v>220</v>
      </c>
      <c r="L25" s="13" t="s">
        <v>64</v>
      </c>
      <c r="M25" s="12" t="s">
        <v>65</v>
      </c>
      <c r="N25" s="12" t="s">
        <v>66</v>
      </c>
      <c r="O25" s="12" t="s">
        <v>221</v>
      </c>
      <c r="P25" s="12" t="s">
        <v>222</v>
      </c>
    </row>
    <row r="26" customFormat="false" ht="57" hidden="false" customHeight="true" outlineLevel="0" collapsed="false">
      <c r="A26" s="12" t="s">
        <v>223</v>
      </c>
      <c r="B26" s="12" t="s">
        <v>224</v>
      </c>
      <c r="C26" s="12" t="s">
        <v>225</v>
      </c>
      <c r="D26" s="12" t="s">
        <v>59</v>
      </c>
      <c r="E26" s="12" t="s">
        <v>226</v>
      </c>
      <c r="F26" s="12" t="s">
        <v>72</v>
      </c>
      <c r="G26" s="13" t="s">
        <v>73</v>
      </c>
      <c r="H26" s="12"/>
      <c r="I26" s="13" t="s">
        <v>49</v>
      </c>
      <c r="J26" s="12" t="s">
        <v>227</v>
      </c>
      <c r="K26" s="13" t="s">
        <v>63</v>
      </c>
      <c r="L26" s="13" t="s">
        <v>64</v>
      </c>
      <c r="M26" s="12" t="s">
        <v>65</v>
      </c>
      <c r="N26" s="12" t="s">
        <v>66</v>
      </c>
      <c r="O26" s="12" t="s">
        <v>228</v>
      </c>
      <c r="P26" s="12" t="s">
        <v>229</v>
      </c>
    </row>
    <row r="27" customFormat="false" ht="57" hidden="false" customHeight="true" outlineLevel="0" collapsed="false">
      <c r="A27" s="12" t="s">
        <v>230</v>
      </c>
      <c r="B27" s="12" t="s">
        <v>231</v>
      </c>
      <c r="C27" s="12" t="s">
        <v>232</v>
      </c>
      <c r="D27" s="12" t="s">
        <v>59</v>
      </c>
      <c r="E27" s="12" t="s">
        <v>233</v>
      </c>
      <c r="F27" s="12" t="s">
        <v>133</v>
      </c>
      <c r="G27" s="13" t="s">
        <v>73</v>
      </c>
      <c r="H27" s="12"/>
      <c r="I27" s="13" t="s">
        <v>49</v>
      </c>
      <c r="J27" s="12" t="s">
        <v>234</v>
      </c>
      <c r="K27" s="13" t="s">
        <v>63</v>
      </c>
      <c r="L27" s="13" t="s">
        <v>52</v>
      </c>
      <c r="M27" s="12" t="s">
        <v>65</v>
      </c>
      <c r="N27" s="12" t="s">
        <v>66</v>
      </c>
      <c r="O27" s="12" t="s">
        <v>235</v>
      </c>
      <c r="P27" s="12" t="s">
        <v>236</v>
      </c>
    </row>
    <row r="28" customFormat="false" ht="57" hidden="false" customHeight="true" outlineLevel="0" collapsed="false">
      <c r="A28" s="12" t="s">
        <v>237</v>
      </c>
      <c r="B28" s="12" t="s">
        <v>238</v>
      </c>
      <c r="C28" s="12" t="s">
        <v>239</v>
      </c>
      <c r="D28" s="12" t="s">
        <v>201</v>
      </c>
      <c r="E28" s="12" t="s">
        <v>240</v>
      </c>
      <c r="F28" s="12" t="s">
        <v>72</v>
      </c>
      <c r="G28" s="13" t="s">
        <v>203</v>
      </c>
      <c r="H28" s="12"/>
      <c r="I28" s="13" t="s">
        <v>49</v>
      </c>
      <c r="J28" s="12" t="s">
        <v>234</v>
      </c>
      <c r="K28" s="13" t="s">
        <v>241</v>
      </c>
      <c r="L28" s="13" t="s">
        <v>205</v>
      </c>
      <c r="M28" s="12" t="s">
        <v>65</v>
      </c>
      <c r="N28" s="12" t="s">
        <v>66</v>
      </c>
      <c r="O28" s="12" t="s">
        <v>242</v>
      </c>
      <c r="P28" s="12" t="s">
        <v>243</v>
      </c>
    </row>
    <row r="29" customFormat="false" ht="57" hidden="false" customHeight="true" outlineLevel="0" collapsed="false">
      <c r="A29" s="12" t="s">
        <v>244</v>
      </c>
      <c r="B29" s="12" t="s">
        <v>245</v>
      </c>
      <c r="C29" s="12" t="s">
        <v>225</v>
      </c>
      <c r="D29" s="12" t="s">
        <v>59</v>
      </c>
      <c r="E29" s="12" t="s">
        <v>246</v>
      </c>
      <c r="F29" s="12" t="s">
        <v>87</v>
      </c>
      <c r="G29" s="13" t="s">
        <v>88</v>
      </c>
      <c r="H29" s="12"/>
      <c r="I29" s="13" t="s">
        <v>49</v>
      </c>
      <c r="J29" s="12" t="s">
        <v>247</v>
      </c>
      <c r="K29" s="13" t="s">
        <v>248</v>
      </c>
      <c r="L29" s="13" t="s">
        <v>90</v>
      </c>
      <c r="M29" s="12" t="s">
        <v>65</v>
      </c>
      <c r="N29" s="12" t="s">
        <v>66</v>
      </c>
      <c r="O29" s="12" t="s">
        <v>249</v>
      </c>
      <c r="P29" s="12" t="s">
        <v>250</v>
      </c>
    </row>
    <row r="30" customFormat="false" ht="57" hidden="false" customHeight="true" outlineLevel="0" collapsed="false">
      <c r="A30" s="12" t="s">
        <v>251</v>
      </c>
      <c r="B30" s="12" t="s">
        <v>252</v>
      </c>
      <c r="C30" s="12" t="s">
        <v>225</v>
      </c>
      <c r="D30" s="12" t="s">
        <v>59</v>
      </c>
      <c r="E30" s="12" t="s">
        <v>253</v>
      </c>
      <c r="F30" s="12" t="s">
        <v>46</v>
      </c>
      <c r="G30" s="13" t="s">
        <v>147</v>
      </c>
      <c r="H30" s="12"/>
      <c r="I30" s="13" t="s">
        <v>49</v>
      </c>
      <c r="J30" s="12" t="s">
        <v>254</v>
      </c>
      <c r="K30" s="13" t="s">
        <v>255</v>
      </c>
      <c r="L30" s="13" t="s">
        <v>205</v>
      </c>
      <c r="M30" s="12" t="s">
        <v>65</v>
      </c>
      <c r="N30" s="12" t="s">
        <v>66</v>
      </c>
      <c r="O30" s="12" t="s">
        <v>256</v>
      </c>
      <c r="P30" s="12" t="s">
        <v>257</v>
      </c>
    </row>
    <row r="31" customFormat="false" ht="57" hidden="false" customHeight="true" outlineLevel="0" collapsed="false">
      <c r="A31" s="12" t="s">
        <v>258</v>
      </c>
      <c r="B31" s="12" t="s">
        <v>259</v>
      </c>
      <c r="C31" s="12" t="s">
        <v>260</v>
      </c>
      <c r="D31" s="12" t="s">
        <v>59</v>
      </c>
      <c r="E31" s="12" t="s">
        <v>261</v>
      </c>
      <c r="F31" s="12" t="s">
        <v>72</v>
      </c>
      <c r="G31" s="13" t="s">
        <v>73</v>
      </c>
      <c r="H31" s="12"/>
      <c r="I31" s="13" t="s">
        <v>49</v>
      </c>
      <c r="J31" s="12" t="s">
        <v>262</v>
      </c>
      <c r="K31" s="13" t="s">
        <v>63</v>
      </c>
      <c r="L31" s="13" t="s">
        <v>64</v>
      </c>
      <c r="M31" s="12" t="s">
        <v>65</v>
      </c>
      <c r="N31" s="12" t="s">
        <v>66</v>
      </c>
      <c r="O31" s="12" t="s">
        <v>263</v>
      </c>
      <c r="P31" s="12" t="s">
        <v>264</v>
      </c>
    </row>
    <row r="32" customFormat="false" ht="57" hidden="false" customHeight="true" outlineLevel="0" collapsed="false">
      <c r="A32" s="12" t="s">
        <v>265</v>
      </c>
      <c r="B32" s="12" t="s">
        <v>266</v>
      </c>
      <c r="C32" s="12" t="s">
        <v>267</v>
      </c>
      <c r="D32" s="12" t="s">
        <v>201</v>
      </c>
      <c r="E32" s="12" t="s">
        <v>268</v>
      </c>
      <c r="F32" s="12" t="s">
        <v>72</v>
      </c>
      <c r="G32" s="13" t="s">
        <v>203</v>
      </c>
      <c r="H32" s="12"/>
      <c r="I32" s="13" t="s">
        <v>49</v>
      </c>
      <c r="J32" s="12" t="s">
        <v>269</v>
      </c>
      <c r="K32" s="13" t="s">
        <v>255</v>
      </c>
      <c r="L32" s="13" t="s">
        <v>205</v>
      </c>
      <c r="M32" s="12" t="s">
        <v>65</v>
      </c>
      <c r="N32" s="12" t="s">
        <v>66</v>
      </c>
      <c r="O32" s="12" t="s">
        <v>270</v>
      </c>
      <c r="P32" s="12" t="s">
        <v>271</v>
      </c>
    </row>
    <row r="33" customFormat="false" ht="57" hidden="false" customHeight="true" outlineLevel="0" collapsed="false">
      <c r="A33" s="12" t="s">
        <v>272</v>
      </c>
      <c r="B33" s="12" t="s">
        <v>273</v>
      </c>
      <c r="C33" s="12" t="s">
        <v>274</v>
      </c>
      <c r="D33" s="12" t="s">
        <v>201</v>
      </c>
      <c r="E33" s="12" t="s">
        <v>275</v>
      </c>
      <c r="F33" s="12" t="s">
        <v>72</v>
      </c>
      <c r="G33" s="13" t="s">
        <v>203</v>
      </c>
      <c r="H33" s="12"/>
      <c r="I33" s="13" t="s">
        <v>49</v>
      </c>
      <c r="J33" s="12" t="s">
        <v>269</v>
      </c>
      <c r="K33" s="13" t="s">
        <v>276</v>
      </c>
      <c r="L33" s="13" t="s">
        <v>113</v>
      </c>
      <c r="M33" s="12" t="s">
        <v>65</v>
      </c>
      <c r="N33" s="12" t="s">
        <v>66</v>
      </c>
      <c r="O33" s="12" t="s">
        <v>277</v>
      </c>
      <c r="P33" s="12" t="s">
        <v>278</v>
      </c>
    </row>
    <row r="34" customFormat="false" ht="57" hidden="false" customHeight="true" outlineLevel="0" collapsed="false">
      <c r="A34" s="12" t="s">
        <v>279</v>
      </c>
      <c r="B34" s="12" t="s">
        <v>280</v>
      </c>
      <c r="C34" s="12" t="s">
        <v>281</v>
      </c>
      <c r="D34" s="12" t="s">
        <v>201</v>
      </c>
      <c r="E34" s="12" t="s">
        <v>282</v>
      </c>
      <c r="F34" s="12" t="s">
        <v>46</v>
      </c>
      <c r="G34" s="13" t="s">
        <v>147</v>
      </c>
      <c r="H34" s="12"/>
      <c r="I34" s="13" t="s">
        <v>49</v>
      </c>
      <c r="J34" s="12" t="s">
        <v>283</v>
      </c>
      <c r="K34" s="13" t="s">
        <v>63</v>
      </c>
      <c r="L34" s="13" t="s">
        <v>64</v>
      </c>
      <c r="M34" s="12" t="s">
        <v>65</v>
      </c>
      <c r="N34" s="12" t="s">
        <v>66</v>
      </c>
      <c r="O34" s="12" t="s">
        <v>284</v>
      </c>
      <c r="P34" s="12" t="s">
        <v>285</v>
      </c>
    </row>
    <row r="35" customFormat="false" ht="57" hidden="false" customHeight="true" outlineLevel="0" collapsed="false">
      <c r="A35" s="12" t="s">
        <v>286</v>
      </c>
      <c r="B35" s="12" t="s">
        <v>287</v>
      </c>
      <c r="C35" s="12" t="s">
        <v>288</v>
      </c>
      <c r="D35" s="12" t="s">
        <v>201</v>
      </c>
      <c r="E35" s="12" t="s">
        <v>289</v>
      </c>
      <c r="F35" s="12" t="s">
        <v>72</v>
      </c>
      <c r="G35" s="13" t="s">
        <v>203</v>
      </c>
      <c r="H35" s="12"/>
      <c r="I35" s="13" t="s">
        <v>89</v>
      </c>
      <c r="J35" s="12" t="s">
        <v>269</v>
      </c>
      <c r="K35" s="13" t="s">
        <v>290</v>
      </c>
      <c r="L35" s="13" t="s">
        <v>205</v>
      </c>
      <c r="M35" s="12" t="s">
        <v>65</v>
      </c>
      <c r="N35" s="12" t="s">
        <v>66</v>
      </c>
      <c r="O35" s="12" t="s">
        <v>291</v>
      </c>
      <c r="P35" s="12" t="s">
        <v>292</v>
      </c>
    </row>
    <row r="36" customFormat="false" ht="57" hidden="false" customHeight="true" outlineLevel="0" collapsed="false">
      <c r="A36" s="12" t="s">
        <v>293</v>
      </c>
      <c r="B36" s="12" t="s">
        <v>294</v>
      </c>
      <c r="C36" s="12" t="s">
        <v>295</v>
      </c>
      <c r="D36" s="12" t="s">
        <v>201</v>
      </c>
      <c r="E36" s="12" t="s">
        <v>296</v>
      </c>
      <c r="F36" s="12" t="s">
        <v>72</v>
      </c>
      <c r="G36" s="13" t="s">
        <v>73</v>
      </c>
      <c r="H36" s="12"/>
      <c r="I36" s="13" t="s">
        <v>104</v>
      </c>
      <c r="J36" s="12" t="s">
        <v>297</v>
      </c>
      <c r="K36" s="13" t="s">
        <v>63</v>
      </c>
      <c r="L36" s="13" t="s">
        <v>52</v>
      </c>
      <c r="M36" s="12" t="s">
        <v>65</v>
      </c>
      <c r="N36" s="12" t="s">
        <v>66</v>
      </c>
      <c r="O36" s="12" t="s">
        <v>298</v>
      </c>
      <c r="P36" s="12" t="s">
        <v>299</v>
      </c>
    </row>
    <row r="37" customFormat="false" ht="57" hidden="false" customHeight="true" outlineLevel="0" collapsed="false">
      <c r="A37" s="12" t="s">
        <v>300</v>
      </c>
      <c r="B37" s="12" t="s">
        <v>301</v>
      </c>
      <c r="C37" s="12" t="s">
        <v>302</v>
      </c>
      <c r="D37" s="12" t="s">
        <v>201</v>
      </c>
      <c r="E37" s="12" t="s">
        <v>303</v>
      </c>
      <c r="F37" s="12" t="s">
        <v>72</v>
      </c>
      <c r="G37" s="13" t="s">
        <v>203</v>
      </c>
      <c r="H37" s="12"/>
      <c r="I37" s="13" t="s">
        <v>89</v>
      </c>
      <c r="J37" s="12" t="s">
        <v>269</v>
      </c>
      <c r="K37" s="13" t="s">
        <v>290</v>
      </c>
      <c r="L37" s="13" t="s">
        <v>205</v>
      </c>
      <c r="M37" s="12" t="s">
        <v>65</v>
      </c>
      <c r="N37" s="12" t="s">
        <v>66</v>
      </c>
      <c r="O37" s="12" t="s">
        <v>304</v>
      </c>
      <c r="P37" s="12" t="s">
        <v>305</v>
      </c>
    </row>
    <row r="38" customFormat="false" ht="57" hidden="false" customHeight="true" outlineLevel="0" collapsed="false">
      <c r="A38" s="12" t="s">
        <v>306</v>
      </c>
      <c r="B38" s="12" t="s">
        <v>307</v>
      </c>
      <c r="C38" s="12" t="s">
        <v>308</v>
      </c>
      <c r="D38" s="12" t="s">
        <v>201</v>
      </c>
      <c r="E38" s="12" t="s">
        <v>309</v>
      </c>
      <c r="F38" s="12" t="s">
        <v>72</v>
      </c>
      <c r="G38" s="13" t="s">
        <v>203</v>
      </c>
      <c r="H38" s="12"/>
      <c r="I38" s="13" t="s">
        <v>104</v>
      </c>
      <c r="J38" s="12" t="s">
        <v>269</v>
      </c>
      <c r="K38" s="13" t="s">
        <v>310</v>
      </c>
      <c r="L38" s="13" t="s">
        <v>64</v>
      </c>
      <c r="M38" s="12" t="s">
        <v>65</v>
      </c>
      <c r="N38" s="12" t="s">
        <v>66</v>
      </c>
      <c r="O38" s="12" t="s">
        <v>311</v>
      </c>
      <c r="P38" s="12" t="s">
        <v>312</v>
      </c>
    </row>
    <row r="39" customFormat="false" ht="57" hidden="false" customHeight="true" outlineLevel="0" collapsed="false">
      <c r="A39" s="12" t="s">
        <v>313</v>
      </c>
      <c r="B39" s="12" t="s">
        <v>314</v>
      </c>
      <c r="C39" s="12" t="s">
        <v>308</v>
      </c>
      <c r="D39" s="12" t="s">
        <v>201</v>
      </c>
      <c r="E39" s="12" t="s">
        <v>315</v>
      </c>
      <c r="F39" s="12" t="s">
        <v>46</v>
      </c>
      <c r="G39" s="13" t="s">
        <v>147</v>
      </c>
      <c r="H39" s="12"/>
      <c r="I39" s="13" t="s">
        <v>89</v>
      </c>
      <c r="J39" s="12" t="s">
        <v>269</v>
      </c>
      <c r="K39" s="13" t="s">
        <v>63</v>
      </c>
      <c r="L39" s="13" t="s">
        <v>205</v>
      </c>
      <c r="M39" s="12" t="s">
        <v>65</v>
      </c>
      <c r="N39" s="12" t="s">
        <v>66</v>
      </c>
      <c r="O39" s="12" t="s">
        <v>316</v>
      </c>
      <c r="P39" s="12" t="s">
        <v>317</v>
      </c>
    </row>
    <row r="40" customFormat="false" ht="57" hidden="false" customHeight="true" outlineLevel="0" collapsed="false">
      <c r="A40" s="12" t="s">
        <v>318</v>
      </c>
      <c r="B40" s="12" t="s">
        <v>319</v>
      </c>
      <c r="C40" s="12" t="s">
        <v>320</v>
      </c>
      <c r="D40" s="12" t="s">
        <v>201</v>
      </c>
      <c r="E40" s="12" t="s">
        <v>321</v>
      </c>
      <c r="F40" s="12" t="s">
        <v>72</v>
      </c>
      <c r="G40" s="13" t="s">
        <v>203</v>
      </c>
      <c r="H40" s="12"/>
      <c r="I40" s="13" t="s">
        <v>62</v>
      </c>
      <c r="J40" s="12" t="s">
        <v>322</v>
      </c>
      <c r="K40" s="13" t="s">
        <v>63</v>
      </c>
      <c r="L40" s="13" t="s">
        <v>64</v>
      </c>
      <c r="M40" s="12" t="s">
        <v>65</v>
      </c>
      <c r="N40" s="12" t="s">
        <v>66</v>
      </c>
      <c r="O40" s="12" t="s">
        <v>323</v>
      </c>
      <c r="P40" s="12" t="s">
        <v>324</v>
      </c>
    </row>
    <row r="41" customFormat="false" ht="57" hidden="false" customHeight="true" outlineLevel="0" collapsed="false">
      <c r="A41" s="12" t="s">
        <v>325</v>
      </c>
      <c r="B41" s="12" t="s">
        <v>326</v>
      </c>
      <c r="C41" s="12" t="s">
        <v>327</v>
      </c>
      <c r="D41" s="12" t="s">
        <v>201</v>
      </c>
      <c r="E41" s="12" t="s">
        <v>328</v>
      </c>
      <c r="F41" s="12" t="s">
        <v>46</v>
      </c>
      <c r="G41" s="13" t="s">
        <v>147</v>
      </c>
      <c r="H41" s="12"/>
      <c r="I41" s="13" t="s">
        <v>62</v>
      </c>
      <c r="J41" s="12" t="s">
        <v>269</v>
      </c>
      <c r="K41" s="13" t="s">
        <v>329</v>
      </c>
      <c r="L41" s="13" t="s">
        <v>205</v>
      </c>
      <c r="M41" s="12" t="s">
        <v>65</v>
      </c>
      <c r="N41" s="12" t="s">
        <v>66</v>
      </c>
      <c r="O41" s="12" t="s">
        <v>330</v>
      </c>
      <c r="P41" s="12" t="s">
        <v>331</v>
      </c>
    </row>
    <row r="42" customFormat="false" ht="57" hidden="false" customHeight="true" outlineLevel="0" collapsed="false">
      <c r="A42" s="12" t="s">
        <v>332</v>
      </c>
      <c r="B42" s="12" t="s">
        <v>333</v>
      </c>
      <c r="C42" s="12" t="s">
        <v>334</v>
      </c>
      <c r="D42" s="12" t="s">
        <v>201</v>
      </c>
      <c r="E42" s="12" t="s">
        <v>335</v>
      </c>
      <c r="F42" s="12" t="s">
        <v>46</v>
      </c>
      <c r="G42" s="13" t="s">
        <v>147</v>
      </c>
      <c r="H42" s="12"/>
      <c r="I42" s="13" t="s">
        <v>62</v>
      </c>
      <c r="J42" s="12" t="s">
        <v>269</v>
      </c>
      <c r="K42" s="13" t="s">
        <v>329</v>
      </c>
      <c r="L42" s="13" t="s">
        <v>205</v>
      </c>
      <c r="M42" s="12" t="s">
        <v>65</v>
      </c>
      <c r="N42" s="12" t="s">
        <v>66</v>
      </c>
      <c r="O42" s="12" t="s">
        <v>336</v>
      </c>
      <c r="P42" s="12" t="s">
        <v>337</v>
      </c>
    </row>
    <row r="43" customFormat="false" ht="57" hidden="false" customHeight="true" outlineLevel="0" collapsed="false">
      <c r="A43" s="12" t="s">
        <v>338</v>
      </c>
      <c r="B43" s="12" t="s">
        <v>339</v>
      </c>
      <c r="C43" s="12" t="s">
        <v>267</v>
      </c>
      <c r="D43" s="12" t="s">
        <v>201</v>
      </c>
      <c r="E43" s="12" t="s">
        <v>340</v>
      </c>
      <c r="F43" s="12" t="s">
        <v>46</v>
      </c>
      <c r="G43" s="13" t="s">
        <v>147</v>
      </c>
      <c r="H43" s="12"/>
      <c r="I43" s="13" t="s">
        <v>62</v>
      </c>
      <c r="J43" s="12" t="s">
        <v>269</v>
      </c>
      <c r="K43" s="13" t="s">
        <v>329</v>
      </c>
      <c r="L43" s="13" t="s">
        <v>205</v>
      </c>
      <c r="M43" s="12" t="s">
        <v>65</v>
      </c>
      <c r="N43" s="12" t="s">
        <v>66</v>
      </c>
      <c r="O43" s="12" t="s">
        <v>341</v>
      </c>
      <c r="P43" s="12" t="s">
        <v>342</v>
      </c>
    </row>
    <row r="44" customFormat="false" ht="57" hidden="false" customHeight="true" outlineLevel="0" collapsed="false">
      <c r="A44" s="12" t="s">
        <v>343</v>
      </c>
      <c r="B44" s="12" t="s">
        <v>344</v>
      </c>
      <c r="C44" s="12" t="s">
        <v>345</v>
      </c>
      <c r="D44" s="12" t="s">
        <v>201</v>
      </c>
      <c r="E44" s="12" t="s">
        <v>346</v>
      </c>
      <c r="F44" s="12" t="s">
        <v>72</v>
      </c>
      <c r="G44" s="13" t="s">
        <v>203</v>
      </c>
      <c r="H44" s="12"/>
      <c r="I44" s="13" t="s">
        <v>89</v>
      </c>
      <c r="J44" s="12" t="s">
        <v>269</v>
      </c>
      <c r="K44" s="13" t="s">
        <v>290</v>
      </c>
      <c r="L44" s="13" t="s">
        <v>205</v>
      </c>
      <c r="M44" s="12" t="s">
        <v>65</v>
      </c>
      <c r="N44" s="12" t="s">
        <v>66</v>
      </c>
      <c r="O44" s="12" t="s">
        <v>347</v>
      </c>
      <c r="P44" s="12" t="s">
        <v>348</v>
      </c>
    </row>
    <row r="45" customFormat="false" ht="57" hidden="false" customHeight="true" outlineLevel="0" collapsed="false">
      <c r="A45" s="12" t="s">
        <v>349</v>
      </c>
      <c r="B45" s="12" t="s">
        <v>350</v>
      </c>
      <c r="C45" s="12" t="s">
        <v>345</v>
      </c>
      <c r="D45" s="12" t="s">
        <v>201</v>
      </c>
      <c r="E45" s="12" t="s">
        <v>351</v>
      </c>
      <c r="F45" s="12" t="s">
        <v>61</v>
      </c>
      <c r="G45" s="12" t="s">
        <v>88</v>
      </c>
      <c r="H45" s="12"/>
      <c r="I45" s="13" t="s">
        <v>49</v>
      </c>
      <c r="J45" s="12" t="s">
        <v>156</v>
      </c>
      <c r="K45" s="12" t="s">
        <v>352</v>
      </c>
      <c r="L45" s="12" t="s">
        <v>52</v>
      </c>
      <c r="M45" s="12" t="s">
        <v>65</v>
      </c>
      <c r="N45" s="12" t="s">
        <v>66</v>
      </c>
      <c r="O45" s="12" t="s">
        <v>353</v>
      </c>
      <c r="P45" s="12" t="s">
        <v>354</v>
      </c>
    </row>
    <row r="46" customFormat="false" ht="57" hidden="false" customHeight="true" outlineLevel="0" collapsed="false">
      <c r="A46" s="12" t="s">
        <v>355</v>
      </c>
      <c r="B46" s="12" t="s">
        <v>356</v>
      </c>
      <c r="C46" s="12" t="s">
        <v>357</v>
      </c>
      <c r="D46" s="12" t="s">
        <v>201</v>
      </c>
      <c r="E46" s="12" t="s">
        <v>358</v>
      </c>
      <c r="F46" s="12" t="s">
        <v>87</v>
      </c>
      <c r="G46" s="12" t="s">
        <v>88</v>
      </c>
      <c r="H46" s="12"/>
      <c r="I46" s="13" t="s">
        <v>49</v>
      </c>
      <c r="J46" s="12" t="s">
        <v>156</v>
      </c>
      <c r="K46" s="13" t="s">
        <v>359</v>
      </c>
      <c r="L46" s="13" t="s">
        <v>52</v>
      </c>
      <c r="M46" s="12" t="s">
        <v>65</v>
      </c>
      <c r="N46" s="12" t="s">
        <v>66</v>
      </c>
      <c r="O46" s="12" t="s">
        <v>360</v>
      </c>
      <c r="P46" s="12" t="s">
        <v>361</v>
      </c>
    </row>
    <row r="47" customFormat="false" ht="57" hidden="false" customHeight="true" outlineLevel="0" collapsed="false">
      <c r="A47" s="12" t="s">
        <v>362</v>
      </c>
      <c r="B47" s="12" t="s">
        <v>363</v>
      </c>
      <c r="C47" s="12" t="s">
        <v>364</v>
      </c>
      <c r="D47" s="12" t="s">
        <v>201</v>
      </c>
      <c r="E47" s="12" t="s">
        <v>365</v>
      </c>
      <c r="F47" s="12" t="s">
        <v>72</v>
      </c>
      <c r="G47" s="13" t="s">
        <v>203</v>
      </c>
      <c r="H47" s="12"/>
      <c r="I47" s="13" t="s">
        <v>89</v>
      </c>
      <c r="J47" s="12" t="s">
        <v>269</v>
      </c>
      <c r="K47" s="13" t="s">
        <v>290</v>
      </c>
      <c r="L47" s="13" t="s">
        <v>205</v>
      </c>
      <c r="M47" s="12" t="s">
        <v>65</v>
      </c>
      <c r="N47" s="12" t="s">
        <v>66</v>
      </c>
      <c r="O47" s="12" t="s">
        <v>366</v>
      </c>
      <c r="P47" s="12" t="s">
        <v>367</v>
      </c>
    </row>
    <row r="48" customFormat="false" ht="57" hidden="false" customHeight="true" outlineLevel="0" collapsed="false">
      <c r="A48" s="12" t="s">
        <v>368</v>
      </c>
      <c r="B48" s="12" t="s">
        <v>369</v>
      </c>
      <c r="C48" s="12" t="s">
        <v>370</v>
      </c>
      <c r="D48" s="12" t="s">
        <v>201</v>
      </c>
      <c r="E48" s="12" t="s">
        <v>371</v>
      </c>
      <c r="F48" s="12" t="s">
        <v>72</v>
      </c>
      <c r="G48" s="13" t="s">
        <v>203</v>
      </c>
      <c r="H48" s="12"/>
      <c r="I48" s="13" t="s">
        <v>62</v>
      </c>
      <c r="J48" s="12" t="s">
        <v>283</v>
      </c>
      <c r="K48" s="13" t="s">
        <v>290</v>
      </c>
      <c r="L48" s="13" t="s">
        <v>205</v>
      </c>
      <c r="M48" s="12" t="s">
        <v>65</v>
      </c>
      <c r="N48" s="12" t="s">
        <v>66</v>
      </c>
      <c r="O48" s="12" t="s">
        <v>372</v>
      </c>
      <c r="P48" s="12" t="s">
        <v>373</v>
      </c>
    </row>
    <row r="49" customFormat="false" ht="57" hidden="false" customHeight="true" outlineLevel="0" collapsed="false">
      <c r="A49" s="12" t="s">
        <v>374</v>
      </c>
      <c r="B49" s="12" t="s">
        <v>375</v>
      </c>
      <c r="C49" s="12" t="s">
        <v>376</v>
      </c>
      <c r="D49" s="12" t="s">
        <v>201</v>
      </c>
      <c r="E49" s="12" t="s">
        <v>377</v>
      </c>
      <c r="F49" s="12" t="s">
        <v>72</v>
      </c>
      <c r="G49" s="13" t="s">
        <v>203</v>
      </c>
      <c r="H49" s="12"/>
      <c r="I49" s="13" t="s">
        <v>62</v>
      </c>
      <c r="J49" s="12" t="s">
        <v>269</v>
      </c>
      <c r="K49" s="13" t="s">
        <v>378</v>
      </c>
      <c r="L49" s="13" t="s">
        <v>205</v>
      </c>
      <c r="M49" s="12" t="s">
        <v>65</v>
      </c>
      <c r="N49" s="12" t="s">
        <v>66</v>
      </c>
      <c r="O49" s="12" t="s">
        <v>379</v>
      </c>
      <c r="P49" s="12" t="s">
        <v>380</v>
      </c>
    </row>
    <row r="50" customFormat="false" ht="57" hidden="false" customHeight="true" outlineLevel="0" collapsed="false">
      <c r="A50" s="12" t="s">
        <v>381</v>
      </c>
      <c r="B50" s="12" t="s">
        <v>382</v>
      </c>
      <c r="C50" s="12" t="s">
        <v>383</v>
      </c>
      <c r="D50" s="12" t="s">
        <v>44</v>
      </c>
      <c r="E50" s="12" t="s">
        <v>384</v>
      </c>
      <c r="F50" s="12" t="s">
        <v>72</v>
      </c>
      <c r="G50" s="13" t="s">
        <v>203</v>
      </c>
      <c r="H50" s="12"/>
      <c r="I50" s="13" t="s">
        <v>89</v>
      </c>
      <c r="J50" s="12" t="s">
        <v>269</v>
      </c>
      <c r="K50" s="13" t="s">
        <v>329</v>
      </c>
      <c r="L50" s="13" t="s">
        <v>205</v>
      </c>
      <c r="M50" s="12" t="s">
        <v>65</v>
      </c>
      <c r="N50" s="12" t="s">
        <v>66</v>
      </c>
      <c r="O50" s="12" t="s">
        <v>385</v>
      </c>
      <c r="P50" s="12" t="s">
        <v>386</v>
      </c>
    </row>
    <row r="51" customFormat="false" ht="57" hidden="false" customHeight="true" outlineLevel="0" collapsed="false">
      <c r="A51" s="12" t="s">
        <v>387</v>
      </c>
      <c r="B51" s="12" t="s">
        <v>388</v>
      </c>
      <c r="C51" s="12" t="s">
        <v>389</v>
      </c>
      <c r="D51" s="12" t="s">
        <v>44</v>
      </c>
      <c r="E51" s="12" t="s">
        <v>390</v>
      </c>
      <c r="F51" s="12" t="s">
        <v>46</v>
      </c>
      <c r="G51" s="13" t="s">
        <v>147</v>
      </c>
      <c r="H51" s="12"/>
      <c r="I51" s="13" t="s">
        <v>89</v>
      </c>
      <c r="J51" s="12" t="s">
        <v>269</v>
      </c>
      <c r="K51" s="13" t="s">
        <v>391</v>
      </c>
      <c r="L51" s="13" t="s">
        <v>205</v>
      </c>
      <c r="M51" s="12" t="s">
        <v>65</v>
      </c>
      <c r="N51" s="12" t="s">
        <v>66</v>
      </c>
      <c r="O51" s="12" t="s">
        <v>392</v>
      </c>
      <c r="P51" s="12" t="s">
        <v>393</v>
      </c>
    </row>
    <row r="52" customFormat="false" ht="57" hidden="false" customHeight="true" outlineLevel="0" collapsed="false">
      <c r="A52" s="12" t="s">
        <v>394</v>
      </c>
      <c r="B52" s="12" t="s">
        <v>395</v>
      </c>
      <c r="C52" s="12" t="s">
        <v>396</v>
      </c>
      <c r="D52" s="12" t="s">
        <v>201</v>
      </c>
      <c r="E52" s="12" t="s">
        <v>397</v>
      </c>
      <c r="F52" s="12" t="s">
        <v>72</v>
      </c>
      <c r="G52" s="12" t="s">
        <v>203</v>
      </c>
      <c r="H52" s="12"/>
      <c r="I52" s="13" t="s">
        <v>49</v>
      </c>
      <c r="J52" s="12" t="s">
        <v>398</v>
      </c>
      <c r="K52" s="13" t="s">
        <v>399</v>
      </c>
      <c r="L52" s="13" t="s">
        <v>113</v>
      </c>
      <c r="M52" s="12" t="s">
        <v>65</v>
      </c>
      <c r="N52" s="12" t="s">
        <v>66</v>
      </c>
      <c r="O52" s="12" t="s">
        <v>400</v>
      </c>
      <c r="P52" s="12" t="s">
        <v>401</v>
      </c>
    </row>
    <row r="53" customFormat="false" ht="57" hidden="false" customHeight="true" outlineLevel="0" collapsed="false">
      <c r="A53" s="12" t="s">
        <v>402</v>
      </c>
      <c r="B53" s="12" t="s">
        <v>403</v>
      </c>
      <c r="C53" s="12" t="s">
        <v>404</v>
      </c>
      <c r="D53" s="12" t="s">
        <v>201</v>
      </c>
      <c r="E53" s="12" t="s">
        <v>405</v>
      </c>
      <c r="F53" s="12" t="s">
        <v>72</v>
      </c>
      <c r="G53" s="13" t="s">
        <v>203</v>
      </c>
      <c r="H53" s="12"/>
      <c r="I53" s="13" t="s">
        <v>49</v>
      </c>
      <c r="J53" s="12" t="s">
        <v>398</v>
      </c>
      <c r="K53" s="13" t="s">
        <v>63</v>
      </c>
      <c r="L53" s="13" t="s">
        <v>64</v>
      </c>
      <c r="M53" s="12" t="s">
        <v>65</v>
      </c>
      <c r="N53" s="12" t="s">
        <v>66</v>
      </c>
      <c r="O53" s="12" t="s">
        <v>406</v>
      </c>
      <c r="P53" s="12" t="s">
        <v>407</v>
      </c>
    </row>
    <row r="54" customFormat="false" ht="57" hidden="false" customHeight="true" outlineLevel="0" collapsed="false">
      <c r="A54" s="12" t="s">
        <v>408</v>
      </c>
      <c r="B54" s="12" t="s">
        <v>409</v>
      </c>
      <c r="C54" s="12" t="s">
        <v>267</v>
      </c>
      <c r="D54" s="12" t="s">
        <v>201</v>
      </c>
      <c r="E54" s="12" t="s">
        <v>410</v>
      </c>
      <c r="F54" s="12" t="s">
        <v>72</v>
      </c>
      <c r="G54" s="13" t="s">
        <v>203</v>
      </c>
      <c r="H54" s="12"/>
      <c r="I54" s="13" t="s">
        <v>49</v>
      </c>
      <c r="J54" s="12" t="s">
        <v>411</v>
      </c>
      <c r="K54" s="13" t="s">
        <v>63</v>
      </c>
      <c r="L54" s="13" t="s">
        <v>64</v>
      </c>
      <c r="M54" s="12" t="s">
        <v>65</v>
      </c>
      <c r="N54" s="12" t="s">
        <v>66</v>
      </c>
      <c r="O54" s="12" t="s">
        <v>412</v>
      </c>
      <c r="P54" s="12" t="s">
        <v>413</v>
      </c>
    </row>
    <row r="55" customFormat="false" ht="57" hidden="false" customHeight="true" outlineLevel="0" collapsed="false">
      <c r="A55" s="12" t="s">
        <v>414</v>
      </c>
      <c r="B55" s="12" t="s">
        <v>415</v>
      </c>
      <c r="C55" s="12" t="s">
        <v>416</v>
      </c>
      <c r="D55" s="12" t="s">
        <v>163</v>
      </c>
      <c r="E55" s="12" t="s">
        <v>417</v>
      </c>
      <c r="F55" s="12" t="s">
        <v>72</v>
      </c>
      <c r="G55" s="13" t="s">
        <v>73</v>
      </c>
      <c r="H55" s="12"/>
      <c r="I55" s="13" t="s">
        <v>49</v>
      </c>
      <c r="J55" s="12" t="s">
        <v>418</v>
      </c>
      <c r="K55" s="13" t="s">
        <v>419</v>
      </c>
      <c r="L55" s="13" t="s">
        <v>90</v>
      </c>
      <c r="M55" s="12" t="s">
        <v>65</v>
      </c>
      <c r="N55" s="12" t="s">
        <v>66</v>
      </c>
      <c r="O55" s="12" t="s">
        <v>420</v>
      </c>
      <c r="P55" s="12" t="s">
        <v>421</v>
      </c>
    </row>
    <row r="56" customFormat="false" ht="57" hidden="false" customHeight="true" outlineLevel="0" collapsed="false">
      <c r="A56" s="12" t="s">
        <v>422</v>
      </c>
      <c r="B56" s="12" t="s">
        <v>423</v>
      </c>
      <c r="C56" s="12" t="s">
        <v>424</v>
      </c>
      <c r="D56" s="12" t="s">
        <v>201</v>
      </c>
      <c r="E56" s="12" t="s">
        <v>425</v>
      </c>
      <c r="F56" s="12" t="s">
        <v>72</v>
      </c>
      <c r="G56" s="13" t="s">
        <v>203</v>
      </c>
      <c r="H56" s="12"/>
      <c r="I56" s="13" t="s">
        <v>49</v>
      </c>
      <c r="J56" s="12" t="s">
        <v>424</v>
      </c>
      <c r="K56" s="13" t="s">
        <v>329</v>
      </c>
      <c r="L56" s="13" t="s">
        <v>205</v>
      </c>
      <c r="M56" s="12" t="s">
        <v>65</v>
      </c>
      <c r="N56" s="12" t="s">
        <v>66</v>
      </c>
      <c r="O56" s="12" t="s">
        <v>426</v>
      </c>
      <c r="P56" s="12" t="s">
        <v>427</v>
      </c>
    </row>
    <row r="57" customFormat="false" ht="57" hidden="false" customHeight="true" outlineLevel="0" collapsed="false">
      <c r="A57" s="12" t="s">
        <v>428</v>
      </c>
      <c r="B57" s="12" t="s">
        <v>429</v>
      </c>
      <c r="C57" s="12" t="s">
        <v>430</v>
      </c>
      <c r="D57" s="12" t="s">
        <v>201</v>
      </c>
      <c r="E57" s="12" t="s">
        <v>431</v>
      </c>
      <c r="F57" s="12" t="s">
        <v>72</v>
      </c>
      <c r="G57" s="13" t="s">
        <v>203</v>
      </c>
      <c r="H57" s="12"/>
      <c r="I57" s="13" t="s">
        <v>49</v>
      </c>
      <c r="J57" s="12" t="s">
        <v>430</v>
      </c>
      <c r="K57" s="13" t="s">
        <v>329</v>
      </c>
      <c r="L57" s="13" t="s">
        <v>205</v>
      </c>
      <c r="M57" s="12" t="s">
        <v>65</v>
      </c>
      <c r="N57" s="12" t="s">
        <v>66</v>
      </c>
      <c r="O57" s="12" t="s">
        <v>432</v>
      </c>
      <c r="P57" s="12" t="s">
        <v>427</v>
      </c>
    </row>
    <row r="58" customFormat="false" ht="57" hidden="false" customHeight="true" outlineLevel="0" collapsed="false">
      <c r="A58" s="12" t="s">
        <v>433</v>
      </c>
      <c r="B58" s="12" t="s">
        <v>434</v>
      </c>
      <c r="C58" s="12" t="s">
        <v>435</v>
      </c>
      <c r="D58" s="12" t="s">
        <v>59</v>
      </c>
      <c r="E58" s="12" t="s">
        <v>436</v>
      </c>
      <c r="F58" s="12" t="s">
        <v>72</v>
      </c>
      <c r="G58" s="13" t="s">
        <v>73</v>
      </c>
      <c r="H58" s="12"/>
      <c r="I58" s="13" t="s">
        <v>49</v>
      </c>
      <c r="J58" s="12" t="s">
        <v>269</v>
      </c>
      <c r="K58" s="13" t="s">
        <v>437</v>
      </c>
      <c r="L58" s="13" t="s">
        <v>64</v>
      </c>
      <c r="M58" s="12" t="s">
        <v>65</v>
      </c>
      <c r="N58" s="12" t="s">
        <v>66</v>
      </c>
      <c r="O58" s="12" t="s">
        <v>438</v>
      </c>
      <c r="P58" s="12" t="s">
        <v>264</v>
      </c>
    </row>
    <row r="59" customFormat="false" ht="57" hidden="false" customHeight="true" outlineLevel="0" collapsed="false">
      <c r="A59" s="12" t="s">
        <v>439</v>
      </c>
      <c r="B59" s="12" t="s">
        <v>440</v>
      </c>
      <c r="C59" s="12" t="s">
        <v>441</v>
      </c>
      <c r="D59" s="12" t="s">
        <v>201</v>
      </c>
      <c r="E59" s="12" t="s">
        <v>442</v>
      </c>
      <c r="F59" s="12" t="s">
        <v>72</v>
      </c>
      <c r="G59" s="13" t="s">
        <v>203</v>
      </c>
      <c r="H59" s="12"/>
      <c r="I59" s="13" t="s">
        <v>49</v>
      </c>
      <c r="J59" s="12" t="s">
        <v>269</v>
      </c>
      <c r="K59" s="13" t="s">
        <v>443</v>
      </c>
      <c r="L59" s="13" t="s">
        <v>113</v>
      </c>
      <c r="M59" s="12" t="s">
        <v>65</v>
      </c>
      <c r="N59" s="12" t="s">
        <v>66</v>
      </c>
      <c r="O59" s="12" t="s">
        <v>444</v>
      </c>
      <c r="P59" s="12" t="s">
        <v>445</v>
      </c>
    </row>
    <row r="60" customFormat="false" ht="57" hidden="false" customHeight="true" outlineLevel="0" collapsed="false">
      <c r="A60" s="12" t="s">
        <v>446</v>
      </c>
      <c r="B60" s="12" t="s">
        <v>447</v>
      </c>
      <c r="C60" s="12" t="s">
        <v>448</v>
      </c>
      <c r="D60" s="12" t="s">
        <v>201</v>
      </c>
      <c r="E60" s="12" t="s">
        <v>449</v>
      </c>
      <c r="F60" s="12" t="s">
        <v>72</v>
      </c>
      <c r="G60" s="13" t="s">
        <v>73</v>
      </c>
      <c r="H60" s="12"/>
      <c r="I60" s="13" t="s">
        <v>49</v>
      </c>
      <c r="J60" s="12" t="s">
        <v>269</v>
      </c>
      <c r="K60" s="13" t="s">
        <v>443</v>
      </c>
      <c r="L60" s="13" t="s">
        <v>64</v>
      </c>
      <c r="M60" s="12" t="s">
        <v>65</v>
      </c>
      <c r="N60" s="12" t="s">
        <v>66</v>
      </c>
      <c r="O60" s="12" t="s">
        <v>450</v>
      </c>
      <c r="P60" s="12" t="s">
        <v>264</v>
      </c>
    </row>
    <row r="61" customFormat="false" ht="57" hidden="false" customHeight="true" outlineLevel="0" collapsed="false">
      <c r="A61" s="12" t="s">
        <v>451</v>
      </c>
      <c r="B61" s="12" t="s">
        <v>452</v>
      </c>
      <c r="C61" s="12" t="s">
        <v>453</v>
      </c>
      <c r="D61" s="12" t="s">
        <v>59</v>
      </c>
      <c r="E61" s="12" t="s">
        <v>454</v>
      </c>
      <c r="F61" s="12" t="s">
        <v>455</v>
      </c>
      <c r="G61" s="12" t="s">
        <v>47</v>
      </c>
      <c r="H61" s="13" t="s">
        <v>141</v>
      </c>
      <c r="I61" s="13" t="s">
        <v>49</v>
      </c>
      <c r="J61" s="12" t="s">
        <v>456</v>
      </c>
      <c r="K61" s="13" t="s">
        <v>457</v>
      </c>
      <c r="L61" s="13" t="s">
        <v>205</v>
      </c>
      <c r="M61" s="12" t="s">
        <v>65</v>
      </c>
      <c r="N61" s="12" t="s">
        <v>66</v>
      </c>
      <c r="O61" s="12" t="s">
        <v>458</v>
      </c>
      <c r="P61" s="12" t="s">
        <v>459</v>
      </c>
    </row>
    <row r="62" customFormat="false" ht="68.25" hidden="false" customHeight="true" outlineLevel="0" collapsed="false">
      <c r="A62" s="12" t="s">
        <v>460</v>
      </c>
      <c r="B62" s="12" t="s">
        <v>461</v>
      </c>
      <c r="C62" s="12" t="s">
        <v>462</v>
      </c>
      <c r="D62" s="12" t="s">
        <v>59</v>
      </c>
      <c r="E62" s="12" t="s">
        <v>463</v>
      </c>
      <c r="F62" s="12" t="s">
        <v>61</v>
      </c>
      <c r="G62" s="12" t="s">
        <v>47</v>
      </c>
      <c r="H62" s="13" t="s">
        <v>141</v>
      </c>
      <c r="I62" s="13" t="s">
        <v>49</v>
      </c>
      <c r="J62" s="12" t="s">
        <v>464</v>
      </c>
      <c r="K62" s="13" t="s">
        <v>465</v>
      </c>
      <c r="L62" s="13" t="s">
        <v>113</v>
      </c>
      <c r="M62" s="12" t="s">
        <v>65</v>
      </c>
      <c r="N62" s="12" t="s">
        <v>66</v>
      </c>
      <c r="O62" s="12" t="s">
        <v>466</v>
      </c>
      <c r="P62" s="12" t="s">
        <v>467</v>
      </c>
    </row>
    <row r="63" customFormat="false" ht="57" hidden="false" customHeight="true" outlineLevel="0" collapsed="false">
      <c r="A63" s="12" t="s">
        <v>468</v>
      </c>
      <c r="B63" s="12" t="s">
        <v>469</v>
      </c>
      <c r="C63" s="12" t="s">
        <v>470</v>
      </c>
      <c r="D63" s="12" t="s">
        <v>59</v>
      </c>
      <c r="E63" s="12" t="s">
        <v>471</v>
      </c>
      <c r="F63" s="12" t="s">
        <v>46</v>
      </c>
      <c r="G63" s="13" t="s">
        <v>147</v>
      </c>
      <c r="H63" s="13" t="s">
        <v>141</v>
      </c>
      <c r="I63" s="13" t="s">
        <v>49</v>
      </c>
      <c r="J63" s="12" t="s">
        <v>269</v>
      </c>
      <c r="K63" s="13" t="s">
        <v>472</v>
      </c>
      <c r="L63" s="13" t="s">
        <v>205</v>
      </c>
      <c r="M63" s="12" t="s">
        <v>65</v>
      </c>
      <c r="N63" s="12" t="s">
        <v>66</v>
      </c>
      <c r="O63" s="12" t="s">
        <v>473</v>
      </c>
      <c r="P63" s="12" t="s">
        <v>474</v>
      </c>
    </row>
    <row r="64" customFormat="false" ht="57" hidden="false" customHeight="true" outlineLevel="0" collapsed="false">
      <c r="A64" s="12" t="s">
        <v>475</v>
      </c>
      <c r="B64" s="12" t="s">
        <v>476</v>
      </c>
      <c r="C64" s="12" t="s">
        <v>477</v>
      </c>
      <c r="D64" s="12" t="s">
        <v>201</v>
      </c>
      <c r="E64" s="12" t="s">
        <v>478</v>
      </c>
      <c r="F64" s="12" t="s">
        <v>46</v>
      </c>
      <c r="G64" s="13" t="s">
        <v>147</v>
      </c>
      <c r="H64" s="12"/>
      <c r="I64" s="13" t="s">
        <v>49</v>
      </c>
      <c r="J64" s="12" t="s">
        <v>479</v>
      </c>
      <c r="K64" s="13" t="s">
        <v>480</v>
      </c>
      <c r="L64" s="13" t="s">
        <v>205</v>
      </c>
      <c r="M64" s="12" t="s">
        <v>65</v>
      </c>
      <c r="N64" s="12" t="s">
        <v>66</v>
      </c>
      <c r="O64" s="12" t="s">
        <v>481</v>
      </c>
      <c r="P64" s="12" t="s">
        <v>482</v>
      </c>
    </row>
    <row r="65" customFormat="false" ht="57" hidden="false" customHeight="true" outlineLevel="0" collapsed="false">
      <c r="A65" s="12" t="s">
        <v>483</v>
      </c>
      <c r="B65" s="12" t="s">
        <v>484</v>
      </c>
      <c r="C65" s="12" t="s">
        <v>485</v>
      </c>
      <c r="D65" s="12" t="s">
        <v>59</v>
      </c>
      <c r="E65" s="12" t="s">
        <v>486</v>
      </c>
      <c r="F65" s="12" t="s">
        <v>487</v>
      </c>
      <c r="G65" s="13" t="s">
        <v>88</v>
      </c>
      <c r="H65" s="13" t="s">
        <v>141</v>
      </c>
      <c r="I65" s="13" t="s">
        <v>49</v>
      </c>
      <c r="J65" s="12" t="s">
        <v>80</v>
      </c>
      <c r="K65" s="13" t="s">
        <v>63</v>
      </c>
      <c r="L65" s="13" t="s">
        <v>64</v>
      </c>
      <c r="M65" s="12" t="s">
        <v>65</v>
      </c>
      <c r="N65" s="12" t="s">
        <v>91</v>
      </c>
      <c r="O65" s="12" t="s">
        <v>488</v>
      </c>
      <c r="P65" s="12" t="s">
        <v>489</v>
      </c>
    </row>
    <row r="66" customFormat="false" ht="57" hidden="false" customHeight="true" outlineLevel="0" collapsed="false">
      <c r="A66" s="12" t="s">
        <v>490</v>
      </c>
      <c r="B66" s="12" t="s">
        <v>491</v>
      </c>
      <c r="C66" s="12" t="s">
        <v>492</v>
      </c>
      <c r="D66" s="12" t="s">
        <v>59</v>
      </c>
      <c r="E66" s="12" t="s">
        <v>493</v>
      </c>
      <c r="F66" s="12" t="s">
        <v>72</v>
      </c>
      <c r="G66" s="13" t="s">
        <v>73</v>
      </c>
      <c r="H66" s="12"/>
      <c r="I66" s="13" t="s">
        <v>104</v>
      </c>
      <c r="J66" s="12" t="s">
        <v>80</v>
      </c>
      <c r="K66" s="13" t="s">
        <v>63</v>
      </c>
      <c r="L66" s="13" t="s">
        <v>64</v>
      </c>
      <c r="M66" s="12" t="s">
        <v>65</v>
      </c>
      <c r="N66" s="12" t="s">
        <v>66</v>
      </c>
      <c r="O66" s="12" t="s">
        <v>494</v>
      </c>
      <c r="P66" s="12" t="s">
        <v>495</v>
      </c>
    </row>
    <row r="67" customFormat="false" ht="57" hidden="false" customHeight="true" outlineLevel="0" collapsed="false">
      <c r="A67" s="12" t="s">
        <v>496</v>
      </c>
      <c r="B67" s="12" t="s">
        <v>497</v>
      </c>
      <c r="C67" s="12" t="s">
        <v>498</v>
      </c>
      <c r="D67" s="12" t="s">
        <v>163</v>
      </c>
      <c r="E67" s="12" t="s">
        <v>499</v>
      </c>
      <c r="F67" s="12" t="s">
        <v>61</v>
      </c>
      <c r="G67" s="13" t="s">
        <v>88</v>
      </c>
      <c r="H67" s="12"/>
      <c r="I67" s="13" t="s">
        <v>104</v>
      </c>
      <c r="J67" s="12" t="s">
        <v>80</v>
      </c>
      <c r="K67" s="13" t="s">
        <v>500</v>
      </c>
      <c r="L67" s="13" t="s">
        <v>90</v>
      </c>
      <c r="M67" s="12" t="s">
        <v>65</v>
      </c>
      <c r="N67" s="12" t="s">
        <v>66</v>
      </c>
      <c r="O67" s="12" t="s">
        <v>501</v>
      </c>
      <c r="P67" s="12" t="s">
        <v>502</v>
      </c>
    </row>
    <row r="68" customFormat="false" ht="57" hidden="false" customHeight="true" outlineLevel="0" collapsed="false">
      <c r="A68" s="12" t="s">
        <v>503</v>
      </c>
      <c r="B68" s="12" t="s">
        <v>504</v>
      </c>
      <c r="C68" s="12" t="s">
        <v>505</v>
      </c>
      <c r="D68" s="12" t="s">
        <v>59</v>
      </c>
      <c r="E68" s="12" t="s">
        <v>506</v>
      </c>
      <c r="F68" s="12" t="s">
        <v>46</v>
      </c>
      <c r="G68" s="13" t="s">
        <v>147</v>
      </c>
      <c r="H68" s="13" t="s">
        <v>141</v>
      </c>
      <c r="I68" s="13" t="s">
        <v>104</v>
      </c>
      <c r="J68" s="12" t="s">
        <v>507</v>
      </c>
      <c r="K68" s="13" t="s">
        <v>508</v>
      </c>
      <c r="L68" s="13" t="s">
        <v>90</v>
      </c>
      <c r="M68" s="12" t="s">
        <v>65</v>
      </c>
      <c r="N68" s="12" t="s">
        <v>66</v>
      </c>
      <c r="O68" s="12" t="s">
        <v>509</v>
      </c>
      <c r="P68" s="12" t="s">
        <v>510</v>
      </c>
    </row>
    <row r="69" customFormat="false" ht="57" hidden="false" customHeight="true" outlineLevel="0" collapsed="false">
      <c r="A69" s="12" t="s">
        <v>511</v>
      </c>
      <c r="B69" s="12" t="s">
        <v>512</v>
      </c>
      <c r="C69" s="12" t="s">
        <v>513</v>
      </c>
      <c r="D69" s="12" t="s">
        <v>514</v>
      </c>
      <c r="E69" s="12" t="s">
        <v>515</v>
      </c>
      <c r="F69" s="12" t="s">
        <v>72</v>
      </c>
      <c r="G69" s="13" t="s">
        <v>203</v>
      </c>
      <c r="H69" s="12"/>
      <c r="I69" s="13" t="s">
        <v>62</v>
      </c>
      <c r="J69" s="12" t="s">
        <v>269</v>
      </c>
      <c r="K69" s="13" t="s">
        <v>516</v>
      </c>
      <c r="L69" s="13" t="s">
        <v>113</v>
      </c>
      <c r="M69" s="12" t="s">
        <v>65</v>
      </c>
      <c r="N69" s="12" t="s">
        <v>66</v>
      </c>
      <c r="O69" s="12" t="s">
        <v>517</v>
      </c>
      <c r="P69" s="12" t="s">
        <v>518</v>
      </c>
    </row>
    <row r="70" customFormat="false" ht="57" hidden="false" customHeight="true" outlineLevel="0" collapsed="false">
      <c r="A70" s="12" t="s">
        <v>519</v>
      </c>
      <c r="B70" s="12" t="s">
        <v>520</v>
      </c>
      <c r="C70" s="12" t="s">
        <v>521</v>
      </c>
      <c r="D70" s="12" t="s">
        <v>514</v>
      </c>
      <c r="E70" s="12" t="s">
        <v>522</v>
      </c>
      <c r="F70" s="12" t="s">
        <v>72</v>
      </c>
      <c r="G70" s="13" t="s">
        <v>73</v>
      </c>
      <c r="H70" s="12"/>
      <c r="I70" s="13" t="s">
        <v>62</v>
      </c>
      <c r="J70" s="12" t="s">
        <v>269</v>
      </c>
      <c r="K70" s="13" t="s">
        <v>516</v>
      </c>
      <c r="L70" s="13" t="s">
        <v>113</v>
      </c>
      <c r="M70" s="12" t="s">
        <v>65</v>
      </c>
      <c r="N70" s="12" t="s">
        <v>66</v>
      </c>
      <c r="O70" s="12" t="s">
        <v>523</v>
      </c>
      <c r="P70" s="12" t="s">
        <v>524</v>
      </c>
    </row>
    <row r="71" customFormat="false" ht="57" hidden="false" customHeight="true" outlineLevel="0" collapsed="false">
      <c r="A71" s="12" t="s">
        <v>525</v>
      </c>
      <c r="B71" s="12" t="s">
        <v>526</v>
      </c>
      <c r="C71" s="12" t="s">
        <v>527</v>
      </c>
      <c r="D71" s="12" t="s">
        <v>514</v>
      </c>
      <c r="E71" s="12" t="s">
        <v>528</v>
      </c>
      <c r="F71" s="12" t="s">
        <v>72</v>
      </c>
      <c r="G71" s="13" t="s">
        <v>73</v>
      </c>
      <c r="H71" s="12"/>
      <c r="I71" s="13" t="s">
        <v>62</v>
      </c>
      <c r="J71" s="12" t="s">
        <v>269</v>
      </c>
      <c r="K71" s="13" t="s">
        <v>516</v>
      </c>
      <c r="L71" s="13" t="s">
        <v>113</v>
      </c>
      <c r="M71" s="12" t="s">
        <v>65</v>
      </c>
      <c r="N71" s="12" t="s">
        <v>66</v>
      </c>
      <c r="O71" s="12" t="s">
        <v>529</v>
      </c>
      <c r="P71" s="12" t="s">
        <v>524</v>
      </c>
    </row>
    <row r="72" customFormat="false" ht="57" hidden="false" customHeight="true" outlineLevel="0" collapsed="false">
      <c r="A72" s="12" t="s">
        <v>530</v>
      </c>
      <c r="B72" s="12" t="s">
        <v>531</v>
      </c>
      <c r="C72" s="12" t="s">
        <v>532</v>
      </c>
      <c r="D72" s="12" t="s">
        <v>514</v>
      </c>
      <c r="E72" s="12" t="s">
        <v>533</v>
      </c>
      <c r="F72" s="12" t="s">
        <v>72</v>
      </c>
      <c r="G72" s="13" t="s">
        <v>73</v>
      </c>
      <c r="H72" s="12"/>
      <c r="I72" s="13" t="s">
        <v>62</v>
      </c>
      <c r="J72" s="12" t="s">
        <v>269</v>
      </c>
      <c r="K72" s="13" t="s">
        <v>516</v>
      </c>
      <c r="L72" s="13" t="s">
        <v>113</v>
      </c>
      <c r="M72" s="12" t="s">
        <v>65</v>
      </c>
      <c r="N72" s="12" t="s">
        <v>66</v>
      </c>
      <c r="O72" s="12" t="s">
        <v>534</v>
      </c>
      <c r="P72" s="12" t="s">
        <v>524</v>
      </c>
    </row>
    <row r="73" customFormat="false" ht="57" hidden="false" customHeight="true" outlineLevel="0" collapsed="false">
      <c r="A73" s="12" t="s">
        <v>535</v>
      </c>
      <c r="B73" s="12" t="s">
        <v>536</v>
      </c>
      <c r="C73" s="12" t="s">
        <v>537</v>
      </c>
      <c r="D73" s="12" t="s">
        <v>514</v>
      </c>
      <c r="E73" s="12" t="s">
        <v>538</v>
      </c>
      <c r="F73" s="12" t="s">
        <v>72</v>
      </c>
      <c r="G73" s="13" t="s">
        <v>203</v>
      </c>
      <c r="H73" s="12"/>
      <c r="I73" s="13" t="s">
        <v>62</v>
      </c>
      <c r="J73" s="12" t="s">
        <v>269</v>
      </c>
      <c r="K73" s="13" t="s">
        <v>516</v>
      </c>
      <c r="L73" s="13" t="s">
        <v>113</v>
      </c>
      <c r="M73" s="12" t="s">
        <v>65</v>
      </c>
      <c r="N73" s="12" t="s">
        <v>66</v>
      </c>
      <c r="O73" s="12" t="s">
        <v>539</v>
      </c>
      <c r="P73" s="12" t="s">
        <v>540</v>
      </c>
    </row>
    <row r="74" customFormat="false" ht="102" hidden="false" customHeight="true" outlineLevel="0" collapsed="false">
      <c r="A74" s="12" t="s">
        <v>541</v>
      </c>
      <c r="B74" s="12" t="s">
        <v>542</v>
      </c>
      <c r="C74" s="12" t="s">
        <v>200</v>
      </c>
      <c r="D74" s="12" t="s">
        <v>201</v>
      </c>
      <c r="E74" s="12" t="s">
        <v>543</v>
      </c>
      <c r="F74" s="12" t="s">
        <v>61</v>
      </c>
      <c r="G74" s="12" t="s">
        <v>88</v>
      </c>
      <c r="H74" s="12" t="s">
        <v>544</v>
      </c>
      <c r="I74" s="12" t="s">
        <v>49</v>
      </c>
      <c r="J74" s="12" t="s">
        <v>545</v>
      </c>
      <c r="K74" s="12" t="s">
        <v>546</v>
      </c>
      <c r="L74" s="12" t="s">
        <v>113</v>
      </c>
      <c r="M74" s="12" t="s">
        <v>65</v>
      </c>
      <c r="N74" s="12" t="s">
        <v>66</v>
      </c>
      <c r="O74" s="12" t="s">
        <v>547</v>
      </c>
      <c r="P74" s="12" t="s">
        <v>548</v>
      </c>
    </row>
    <row r="75" customFormat="false" ht="79.5" hidden="false" customHeight="true" outlineLevel="0" collapsed="false">
      <c r="A75" s="12" t="s">
        <v>549</v>
      </c>
      <c r="B75" s="12" t="s">
        <v>550</v>
      </c>
      <c r="C75" s="12" t="s">
        <v>43</v>
      </c>
      <c r="D75" s="12" t="s">
        <v>44</v>
      </c>
      <c r="E75" s="12" t="s">
        <v>551</v>
      </c>
      <c r="F75" s="12" t="s">
        <v>46</v>
      </c>
      <c r="G75" s="12" t="s">
        <v>47</v>
      </c>
      <c r="H75" s="13" t="s">
        <v>48</v>
      </c>
      <c r="I75" s="13" t="s">
        <v>49</v>
      </c>
      <c r="J75" s="12" t="s">
        <v>50</v>
      </c>
      <c r="K75" s="13" t="s">
        <v>552</v>
      </c>
      <c r="L75" s="13" t="s">
        <v>52</v>
      </c>
      <c r="M75" s="12" t="s">
        <v>65</v>
      </c>
      <c r="N75" s="12" t="s">
        <v>66</v>
      </c>
      <c r="O75" s="12" t="s">
        <v>553</v>
      </c>
      <c r="P75" s="12" t="s">
        <v>554</v>
      </c>
    </row>
    <row r="76" customFormat="false" ht="57" hidden="false" customHeight="true" outlineLevel="0" collapsed="false">
      <c r="A76" s="12" t="s">
        <v>555</v>
      </c>
      <c r="B76" s="12" t="s">
        <v>556</v>
      </c>
      <c r="C76" s="12" t="s">
        <v>557</v>
      </c>
      <c r="D76" s="12" t="s">
        <v>163</v>
      </c>
      <c r="E76" s="12" t="s">
        <v>558</v>
      </c>
      <c r="F76" s="12" t="s">
        <v>46</v>
      </c>
      <c r="G76" s="13" t="s">
        <v>47</v>
      </c>
      <c r="H76" s="12"/>
      <c r="I76" s="13" t="s">
        <v>62</v>
      </c>
      <c r="J76" s="12" t="s">
        <v>559</v>
      </c>
      <c r="K76" s="13" t="s">
        <v>560</v>
      </c>
      <c r="L76" s="13" t="s">
        <v>113</v>
      </c>
      <c r="M76" s="12" t="s">
        <v>65</v>
      </c>
      <c r="N76" s="12" t="s">
        <v>66</v>
      </c>
      <c r="O76" s="12" t="s">
        <v>553</v>
      </c>
      <c r="P76" s="12" t="s">
        <v>561</v>
      </c>
    </row>
    <row r="77" customFormat="false" ht="57" hidden="false" customHeight="true" outlineLevel="0" collapsed="false">
      <c r="A77" s="12" t="s">
        <v>562</v>
      </c>
      <c r="B77" s="12" t="s">
        <v>563</v>
      </c>
      <c r="C77" s="12" t="s">
        <v>267</v>
      </c>
      <c r="D77" s="12" t="s">
        <v>201</v>
      </c>
      <c r="E77" s="12" t="s">
        <v>564</v>
      </c>
      <c r="F77" s="12" t="s">
        <v>87</v>
      </c>
      <c r="G77" s="12" t="s">
        <v>47</v>
      </c>
      <c r="H77" s="13" t="s">
        <v>565</v>
      </c>
      <c r="I77" s="13" t="s">
        <v>62</v>
      </c>
      <c r="J77" s="12" t="s">
        <v>559</v>
      </c>
      <c r="K77" s="13" t="s">
        <v>566</v>
      </c>
      <c r="L77" s="13" t="s">
        <v>205</v>
      </c>
      <c r="M77" s="12" t="s">
        <v>65</v>
      </c>
      <c r="N77" s="12" t="s">
        <v>66</v>
      </c>
      <c r="O77" s="12" t="s">
        <v>553</v>
      </c>
      <c r="P77" s="12" t="s">
        <v>567</v>
      </c>
    </row>
    <row r="78" customFormat="false" ht="57" hidden="false" customHeight="true" outlineLevel="0" collapsed="false">
      <c r="A78" s="12" t="s">
        <v>568</v>
      </c>
      <c r="B78" s="12" t="s">
        <v>569</v>
      </c>
      <c r="C78" s="12" t="s">
        <v>570</v>
      </c>
      <c r="D78" s="12" t="s">
        <v>44</v>
      </c>
      <c r="E78" s="12" t="s">
        <v>571</v>
      </c>
      <c r="F78" s="12" t="s">
        <v>46</v>
      </c>
      <c r="G78" s="13" t="s">
        <v>47</v>
      </c>
      <c r="H78" s="13" t="s">
        <v>572</v>
      </c>
      <c r="I78" s="13" t="s">
        <v>49</v>
      </c>
      <c r="J78" s="12" t="s">
        <v>573</v>
      </c>
      <c r="K78" s="13" t="s">
        <v>574</v>
      </c>
      <c r="L78" s="13" t="s">
        <v>205</v>
      </c>
      <c r="M78" s="12" t="s">
        <v>65</v>
      </c>
      <c r="N78" s="12" t="s">
        <v>66</v>
      </c>
      <c r="O78" s="12" t="s">
        <v>553</v>
      </c>
      <c r="P78" s="12" t="s">
        <v>575</v>
      </c>
    </row>
    <row r="79" customFormat="false" ht="45.75" hidden="false" customHeight="true" outlineLevel="0" collapsed="false">
      <c r="A79" s="12" t="s">
        <v>576</v>
      </c>
      <c r="B79" s="12" t="s">
        <v>577</v>
      </c>
      <c r="C79" s="12" t="s">
        <v>578</v>
      </c>
      <c r="D79" s="12" t="s">
        <v>163</v>
      </c>
      <c r="E79" s="12" t="s">
        <v>579</v>
      </c>
      <c r="F79" s="12" t="s">
        <v>580</v>
      </c>
      <c r="G79" s="13" t="s">
        <v>88</v>
      </c>
      <c r="H79" s="12"/>
      <c r="I79" s="13" t="s">
        <v>49</v>
      </c>
      <c r="J79" s="12" t="s">
        <v>581</v>
      </c>
      <c r="K79" s="13" t="s">
        <v>582</v>
      </c>
      <c r="L79" s="13" t="s">
        <v>64</v>
      </c>
      <c r="M79" s="12" t="s">
        <v>65</v>
      </c>
      <c r="N79" s="12" t="s">
        <v>66</v>
      </c>
      <c r="O79" s="12" t="s">
        <v>553</v>
      </c>
      <c r="P79" s="12" t="s">
        <v>583</v>
      </c>
    </row>
    <row r="80" customFormat="false" ht="68.25" hidden="false" customHeight="true" outlineLevel="0" collapsed="false">
      <c r="A80" s="12" t="s">
        <v>584</v>
      </c>
      <c r="B80" s="12" t="s">
        <v>585</v>
      </c>
      <c r="C80" s="12" t="s">
        <v>586</v>
      </c>
      <c r="D80" s="12" t="s">
        <v>59</v>
      </c>
      <c r="E80" s="12" t="s">
        <v>587</v>
      </c>
      <c r="F80" s="12" t="s">
        <v>46</v>
      </c>
      <c r="G80" s="12" t="s">
        <v>47</v>
      </c>
      <c r="H80" s="12"/>
      <c r="I80" s="13" t="s">
        <v>49</v>
      </c>
      <c r="J80" s="12" t="s">
        <v>588</v>
      </c>
      <c r="K80" s="13" t="s">
        <v>589</v>
      </c>
      <c r="L80" s="13" t="s">
        <v>113</v>
      </c>
      <c r="M80" s="12" t="s">
        <v>65</v>
      </c>
      <c r="N80" s="12" t="s">
        <v>66</v>
      </c>
      <c r="O80" s="12" t="s">
        <v>553</v>
      </c>
      <c r="P80" s="12" t="s">
        <v>590</v>
      </c>
    </row>
    <row r="81" customFormat="false" ht="45.75" hidden="false" customHeight="true" outlineLevel="0" collapsed="false">
      <c r="A81" s="12" t="s">
        <v>591</v>
      </c>
      <c r="B81" s="12" t="s">
        <v>592</v>
      </c>
      <c r="C81" s="12" t="s">
        <v>593</v>
      </c>
      <c r="D81" s="12" t="s">
        <v>59</v>
      </c>
      <c r="E81" s="12" t="s">
        <v>594</v>
      </c>
      <c r="F81" s="12" t="s">
        <v>87</v>
      </c>
      <c r="G81" s="12" t="s">
        <v>47</v>
      </c>
      <c r="H81" s="12"/>
      <c r="I81" s="13" t="s">
        <v>49</v>
      </c>
      <c r="J81" s="12" t="s">
        <v>595</v>
      </c>
      <c r="K81" s="13" t="s">
        <v>596</v>
      </c>
      <c r="L81" s="13" t="s">
        <v>113</v>
      </c>
      <c r="M81" s="12" t="s">
        <v>65</v>
      </c>
      <c r="N81" s="12" t="s">
        <v>66</v>
      </c>
      <c r="O81" s="12" t="s">
        <v>553</v>
      </c>
      <c r="P81" s="12" t="s">
        <v>597</v>
      </c>
    </row>
    <row r="82" customFormat="false" ht="45.75" hidden="false" customHeight="true" outlineLevel="0" collapsed="false">
      <c r="A82" s="12" t="s">
        <v>598</v>
      </c>
      <c r="B82" s="12" t="s">
        <v>599</v>
      </c>
      <c r="C82" s="12" t="s">
        <v>139</v>
      </c>
      <c r="D82" s="12" t="s">
        <v>59</v>
      </c>
      <c r="E82" s="12" t="s">
        <v>600</v>
      </c>
      <c r="F82" s="12" t="s">
        <v>487</v>
      </c>
      <c r="G82" s="12" t="s">
        <v>88</v>
      </c>
      <c r="H82" s="13" t="s">
        <v>141</v>
      </c>
      <c r="I82" s="13" t="s">
        <v>49</v>
      </c>
      <c r="J82" s="12" t="s">
        <v>601</v>
      </c>
      <c r="K82" s="13" t="s">
        <v>602</v>
      </c>
      <c r="L82" s="13" t="s">
        <v>90</v>
      </c>
      <c r="M82" s="12" t="s">
        <v>65</v>
      </c>
      <c r="N82" s="12" t="s">
        <v>66</v>
      </c>
      <c r="O82" s="12" t="s">
        <v>553</v>
      </c>
      <c r="P82" s="12" t="s">
        <v>603</v>
      </c>
    </row>
    <row r="83" customFormat="false" ht="15" hidden="false" customHeight="true" outlineLevel="0" collapsed="false">
      <c r="A83" s="12" t="s">
        <v>604</v>
      </c>
      <c r="B83" s="12" t="s">
        <v>605</v>
      </c>
      <c r="C83" s="12" t="s">
        <v>58</v>
      </c>
      <c r="D83" s="12" t="s">
        <v>59</v>
      </c>
      <c r="E83" s="12" t="s">
        <v>606</v>
      </c>
      <c r="F83" s="12" t="s">
        <v>46</v>
      </c>
      <c r="G83" s="13" t="s">
        <v>47</v>
      </c>
      <c r="H83" s="12" t="s">
        <v>607</v>
      </c>
      <c r="I83" s="13" t="s">
        <v>89</v>
      </c>
      <c r="J83" s="12" t="s">
        <v>58</v>
      </c>
      <c r="K83" s="13" t="s">
        <v>608</v>
      </c>
      <c r="L83" s="13" t="s">
        <v>113</v>
      </c>
      <c r="M83" s="12" t="s">
        <v>65</v>
      </c>
      <c r="N83" s="12" t="s">
        <v>66</v>
      </c>
      <c r="O83" s="12" t="s">
        <v>609</v>
      </c>
      <c r="P83" s="12" t="s">
        <v>610</v>
      </c>
    </row>
    <row r="84" customFormat="false" ht="15" hidden="false" customHeight="true" outlineLevel="0" collapsed="false">
      <c r="A84" s="12" t="s">
        <v>611</v>
      </c>
      <c r="B84" s="12" t="s">
        <v>612</v>
      </c>
      <c r="C84" s="12" t="s">
        <v>58</v>
      </c>
      <c r="D84" s="12" t="s">
        <v>59</v>
      </c>
      <c r="E84" s="12" t="s">
        <v>613</v>
      </c>
      <c r="F84" s="12" t="s">
        <v>46</v>
      </c>
      <c r="G84" s="13" t="s">
        <v>47</v>
      </c>
      <c r="H84" s="12" t="s">
        <v>607</v>
      </c>
      <c r="I84" s="13" t="s">
        <v>89</v>
      </c>
      <c r="J84" s="12" t="s">
        <v>58</v>
      </c>
      <c r="K84" s="13" t="s">
        <v>614</v>
      </c>
      <c r="L84" s="13" t="s">
        <v>64</v>
      </c>
      <c r="M84" s="12" t="s">
        <v>65</v>
      </c>
      <c r="N84" s="12" t="s">
        <v>66</v>
      </c>
      <c r="O84" s="12" t="s">
        <v>609</v>
      </c>
      <c r="P84" s="12" t="s">
        <v>615</v>
      </c>
    </row>
    <row r="85" customFormat="false" ht="15" hidden="false" customHeight="true" outlineLevel="0" collapsed="false">
      <c r="A85" s="12" t="s">
        <v>616</v>
      </c>
      <c r="B85" s="12" t="s">
        <v>617</v>
      </c>
      <c r="C85" s="12" t="s">
        <v>58</v>
      </c>
      <c r="D85" s="12" t="s">
        <v>59</v>
      </c>
      <c r="E85" s="12" t="s">
        <v>618</v>
      </c>
      <c r="F85" s="12" t="s">
        <v>46</v>
      </c>
      <c r="G85" s="13" t="s">
        <v>47</v>
      </c>
      <c r="H85" s="12" t="s">
        <v>607</v>
      </c>
      <c r="I85" s="13" t="s">
        <v>89</v>
      </c>
      <c r="J85" s="12" t="s">
        <v>58</v>
      </c>
      <c r="K85" s="13" t="s">
        <v>619</v>
      </c>
      <c r="L85" s="13" t="s">
        <v>64</v>
      </c>
      <c r="M85" s="12" t="s">
        <v>65</v>
      </c>
      <c r="N85" s="12" t="s">
        <v>66</v>
      </c>
      <c r="O85" s="12" t="s">
        <v>609</v>
      </c>
      <c r="P85" s="12" t="s">
        <v>620</v>
      </c>
    </row>
    <row r="86" customFormat="false" ht="15" hidden="false" customHeight="true" outlineLevel="0" collapsed="false">
      <c r="A86" s="12" t="s">
        <v>621</v>
      </c>
      <c r="B86" s="12" t="s">
        <v>622</v>
      </c>
      <c r="C86" s="12" t="s">
        <v>58</v>
      </c>
      <c r="D86" s="12" t="s">
        <v>59</v>
      </c>
      <c r="E86" s="12" t="s">
        <v>623</v>
      </c>
      <c r="F86" s="12" t="s">
        <v>46</v>
      </c>
      <c r="G86" s="13" t="s">
        <v>47</v>
      </c>
      <c r="H86" s="12" t="s">
        <v>607</v>
      </c>
      <c r="I86" s="13" t="s">
        <v>62</v>
      </c>
      <c r="J86" s="12" t="s">
        <v>58</v>
      </c>
      <c r="K86" s="13" t="s">
        <v>624</v>
      </c>
      <c r="L86" s="13" t="s">
        <v>64</v>
      </c>
      <c r="M86" s="12" t="s">
        <v>65</v>
      </c>
      <c r="N86" s="12" t="s">
        <v>66</v>
      </c>
      <c r="O86" s="12" t="s">
        <v>609</v>
      </c>
      <c r="P86" s="12" t="s">
        <v>625</v>
      </c>
    </row>
    <row r="87" customFormat="false" ht="15" hidden="false" customHeight="true" outlineLevel="0" collapsed="false">
      <c r="A87" s="12" t="s">
        <v>626</v>
      </c>
      <c r="B87" s="12" t="s">
        <v>627</v>
      </c>
      <c r="C87" s="12" t="s">
        <v>58</v>
      </c>
      <c r="D87" s="12" t="s">
        <v>59</v>
      </c>
      <c r="E87" s="12" t="s">
        <v>628</v>
      </c>
      <c r="F87" s="12" t="s">
        <v>46</v>
      </c>
      <c r="G87" s="13" t="s">
        <v>47</v>
      </c>
      <c r="H87" s="12" t="s">
        <v>607</v>
      </c>
      <c r="I87" s="13" t="s">
        <v>62</v>
      </c>
      <c r="J87" s="12" t="s">
        <v>58</v>
      </c>
      <c r="K87" s="13" t="s">
        <v>629</v>
      </c>
      <c r="L87" s="13" t="s">
        <v>64</v>
      </c>
      <c r="M87" s="12" t="s">
        <v>65</v>
      </c>
      <c r="N87" s="12" t="s">
        <v>66</v>
      </c>
      <c r="O87" s="12" t="s">
        <v>609</v>
      </c>
      <c r="P87" s="12" t="s">
        <v>630</v>
      </c>
    </row>
    <row r="88" customFormat="false" ht="15" hidden="false" customHeight="true" outlineLevel="0" collapsed="false">
      <c r="A88" s="12" t="s">
        <v>631</v>
      </c>
      <c r="B88" s="12" t="s">
        <v>632</v>
      </c>
      <c r="C88" s="12" t="s">
        <v>58</v>
      </c>
      <c r="D88" s="12" t="s">
        <v>59</v>
      </c>
      <c r="E88" s="12" t="s">
        <v>633</v>
      </c>
      <c r="F88" s="12" t="s">
        <v>46</v>
      </c>
      <c r="G88" s="13" t="s">
        <v>47</v>
      </c>
      <c r="H88" s="12" t="s">
        <v>607</v>
      </c>
      <c r="I88" s="13" t="s">
        <v>49</v>
      </c>
      <c r="J88" s="12" t="s">
        <v>58</v>
      </c>
      <c r="K88" s="13" t="s">
        <v>634</v>
      </c>
      <c r="L88" s="13" t="s">
        <v>64</v>
      </c>
      <c r="M88" s="12" t="s">
        <v>65</v>
      </c>
      <c r="N88" s="12" t="s">
        <v>66</v>
      </c>
      <c r="O88" s="12" t="s">
        <v>609</v>
      </c>
      <c r="P88" s="12" t="s">
        <v>635</v>
      </c>
    </row>
    <row r="89" customFormat="false" ht="15" hidden="false" customHeight="true" outlineLevel="0" collapsed="false">
      <c r="A89" s="12" t="s">
        <v>636</v>
      </c>
      <c r="B89" s="12" t="s">
        <v>637</v>
      </c>
      <c r="C89" s="12" t="s">
        <v>58</v>
      </c>
      <c r="D89" s="12" t="s">
        <v>59</v>
      </c>
      <c r="E89" s="12" t="s">
        <v>638</v>
      </c>
      <c r="F89" s="12" t="s">
        <v>46</v>
      </c>
      <c r="G89" s="13" t="s">
        <v>47</v>
      </c>
      <c r="H89" s="12" t="s">
        <v>607</v>
      </c>
      <c r="I89" s="13" t="s">
        <v>89</v>
      </c>
      <c r="J89" s="12" t="s">
        <v>58</v>
      </c>
      <c r="K89" s="13" t="s">
        <v>608</v>
      </c>
      <c r="L89" s="13" t="s">
        <v>64</v>
      </c>
      <c r="M89" s="12" t="s">
        <v>65</v>
      </c>
      <c r="N89" s="12" t="s">
        <v>66</v>
      </c>
      <c r="O89" s="12" t="s">
        <v>609</v>
      </c>
      <c r="P89" s="12" t="s">
        <v>639</v>
      </c>
    </row>
    <row r="90" customFormat="false" ht="15" hidden="false" customHeight="true" outlineLevel="0" collapsed="false">
      <c r="A90" s="12" t="s">
        <v>640</v>
      </c>
      <c r="B90" s="12" t="s">
        <v>641</v>
      </c>
      <c r="C90" s="12" t="s">
        <v>58</v>
      </c>
      <c r="D90" s="12" t="s">
        <v>59</v>
      </c>
      <c r="E90" s="12" t="s">
        <v>642</v>
      </c>
      <c r="F90" s="12" t="s">
        <v>46</v>
      </c>
      <c r="G90" s="13" t="s">
        <v>47</v>
      </c>
      <c r="H90" s="12" t="s">
        <v>607</v>
      </c>
      <c r="I90" s="13" t="s">
        <v>62</v>
      </c>
      <c r="J90" s="12" t="s">
        <v>58</v>
      </c>
      <c r="K90" s="13" t="s">
        <v>629</v>
      </c>
      <c r="L90" s="13" t="s">
        <v>64</v>
      </c>
      <c r="M90" s="12" t="s">
        <v>65</v>
      </c>
      <c r="N90" s="12" t="s">
        <v>66</v>
      </c>
      <c r="O90" s="12" t="s">
        <v>609</v>
      </c>
      <c r="P90" s="12" t="s">
        <v>643</v>
      </c>
    </row>
    <row r="91" customFormat="false" ht="15" hidden="false" customHeight="true" outlineLevel="0" collapsed="false">
      <c r="A91" s="12" t="s">
        <v>644</v>
      </c>
      <c r="B91" s="12" t="s">
        <v>645</v>
      </c>
      <c r="C91" s="12" t="s">
        <v>58</v>
      </c>
      <c r="D91" s="12" t="s">
        <v>59</v>
      </c>
      <c r="E91" s="12" t="s">
        <v>646</v>
      </c>
      <c r="F91" s="12" t="s">
        <v>46</v>
      </c>
      <c r="G91" s="13" t="s">
        <v>47</v>
      </c>
      <c r="H91" s="12" t="s">
        <v>607</v>
      </c>
      <c r="I91" s="13" t="s">
        <v>89</v>
      </c>
      <c r="J91" s="12" t="s">
        <v>58</v>
      </c>
      <c r="K91" s="13" t="s">
        <v>647</v>
      </c>
      <c r="L91" s="13" t="s">
        <v>64</v>
      </c>
      <c r="M91" s="12" t="s">
        <v>65</v>
      </c>
      <c r="N91" s="12" t="s">
        <v>66</v>
      </c>
      <c r="O91" s="12" t="s">
        <v>609</v>
      </c>
      <c r="P91" s="12" t="s">
        <v>648</v>
      </c>
    </row>
    <row r="92" customFormat="false" ht="15" hidden="false" customHeight="true" outlineLevel="0" collapsed="false">
      <c r="A92" s="12" t="s">
        <v>649</v>
      </c>
      <c r="B92" s="12" t="s">
        <v>650</v>
      </c>
      <c r="C92" s="12" t="s">
        <v>58</v>
      </c>
      <c r="D92" s="12" t="s">
        <v>59</v>
      </c>
      <c r="E92" s="12" t="s">
        <v>651</v>
      </c>
      <c r="F92" s="12" t="s">
        <v>46</v>
      </c>
      <c r="G92" s="13" t="s">
        <v>47</v>
      </c>
      <c r="H92" s="12" t="s">
        <v>607</v>
      </c>
      <c r="I92" s="13" t="s">
        <v>49</v>
      </c>
      <c r="J92" s="12" t="s">
        <v>58</v>
      </c>
      <c r="K92" s="13" t="s">
        <v>652</v>
      </c>
      <c r="L92" s="13" t="s">
        <v>64</v>
      </c>
      <c r="M92" s="12" t="s">
        <v>65</v>
      </c>
      <c r="N92" s="12" t="s">
        <v>66</v>
      </c>
      <c r="O92" s="12" t="s">
        <v>609</v>
      </c>
      <c r="P92" s="12" t="s">
        <v>653</v>
      </c>
    </row>
    <row r="93" customFormat="false" ht="15" hidden="false" customHeight="true" outlineLevel="0" collapsed="false">
      <c r="A93" s="12" t="s">
        <v>654</v>
      </c>
      <c r="B93" s="12" t="s">
        <v>655</v>
      </c>
      <c r="C93" s="12" t="s">
        <v>58</v>
      </c>
      <c r="D93" s="12" t="s">
        <v>59</v>
      </c>
      <c r="E93" s="12" t="s">
        <v>656</v>
      </c>
      <c r="F93" s="12" t="s">
        <v>46</v>
      </c>
      <c r="G93" s="13" t="s">
        <v>47</v>
      </c>
      <c r="H93" s="12" t="s">
        <v>607</v>
      </c>
      <c r="I93" s="13" t="s">
        <v>89</v>
      </c>
      <c r="J93" s="12" t="s">
        <v>58</v>
      </c>
      <c r="K93" s="13" t="s">
        <v>608</v>
      </c>
      <c r="L93" s="13" t="s">
        <v>64</v>
      </c>
      <c r="M93" s="12" t="s">
        <v>65</v>
      </c>
      <c r="N93" s="12" t="s">
        <v>66</v>
      </c>
      <c r="O93" s="12" t="s">
        <v>609</v>
      </c>
      <c r="P93" s="12" t="s">
        <v>657</v>
      </c>
    </row>
    <row r="94" customFormat="false" ht="15" hidden="false" customHeight="true" outlineLevel="0" collapsed="false">
      <c r="A94" s="12" t="s">
        <v>658</v>
      </c>
      <c r="B94" s="12" t="s">
        <v>659</v>
      </c>
      <c r="C94" s="12" t="s">
        <v>58</v>
      </c>
      <c r="D94" s="12" t="s">
        <v>59</v>
      </c>
      <c r="E94" s="12" t="s">
        <v>660</v>
      </c>
      <c r="F94" s="12" t="s">
        <v>46</v>
      </c>
      <c r="G94" s="13" t="s">
        <v>47</v>
      </c>
      <c r="H94" s="12" t="s">
        <v>607</v>
      </c>
      <c r="I94" s="13" t="s">
        <v>49</v>
      </c>
      <c r="J94" s="12" t="s">
        <v>58</v>
      </c>
      <c r="K94" s="13" t="s">
        <v>661</v>
      </c>
      <c r="L94" s="13" t="s">
        <v>64</v>
      </c>
      <c r="M94" s="12" t="s">
        <v>65</v>
      </c>
      <c r="N94" s="12" t="s">
        <v>66</v>
      </c>
      <c r="O94" s="12" t="s">
        <v>609</v>
      </c>
      <c r="P94" s="12" t="s">
        <v>662</v>
      </c>
    </row>
    <row r="95" customFormat="false" ht="15" hidden="false" customHeight="true" outlineLevel="0" collapsed="false">
      <c r="A95" s="12" t="s">
        <v>663</v>
      </c>
      <c r="B95" s="12" t="s">
        <v>664</v>
      </c>
      <c r="C95" s="12" t="s">
        <v>58</v>
      </c>
      <c r="D95" s="12" t="s">
        <v>59</v>
      </c>
      <c r="E95" s="12" t="s">
        <v>665</v>
      </c>
      <c r="F95" s="12" t="s">
        <v>46</v>
      </c>
      <c r="G95" s="13" t="s">
        <v>47</v>
      </c>
      <c r="H95" s="12" t="s">
        <v>607</v>
      </c>
      <c r="I95" s="13" t="s">
        <v>49</v>
      </c>
      <c r="J95" s="12" t="s">
        <v>58</v>
      </c>
      <c r="K95" s="13" t="s">
        <v>666</v>
      </c>
      <c r="L95" s="13" t="s">
        <v>64</v>
      </c>
      <c r="M95" s="12" t="s">
        <v>65</v>
      </c>
      <c r="N95" s="12" t="s">
        <v>66</v>
      </c>
      <c r="O95" s="12" t="s">
        <v>609</v>
      </c>
      <c r="P95" s="12" t="s">
        <v>667</v>
      </c>
    </row>
    <row r="96" customFormat="false" ht="15" hidden="false" customHeight="true" outlineLevel="0" collapsed="false">
      <c r="A96" s="12" t="s">
        <v>668</v>
      </c>
      <c r="B96" s="12" t="s">
        <v>669</v>
      </c>
      <c r="C96" s="12" t="s">
        <v>58</v>
      </c>
      <c r="D96" s="12" t="s">
        <v>59</v>
      </c>
      <c r="E96" s="12" t="s">
        <v>670</v>
      </c>
      <c r="F96" s="12" t="s">
        <v>46</v>
      </c>
      <c r="G96" s="13" t="s">
        <v>47</v>
      </c>
      <c r="H96" s="12" t="s">
        <v>607</v>
      </c>
      <c r="I96" s="13" t="s">
        <v>49</v>
      </c>
      <c r="J96" s="12" t="s">
        <v>58</v>
      </c>
      <c r="K96" s="13" t="s">
        <v>671</v>
      </c>
      <c r="L96" s="13" t="s">
        <v>64</v>
      </c>
      <c r="M96" s="12" t="s">
        <v>65</v>
      </c>
      <c r="N96" s="12" t="s">
        <v>66</v>
      </c>
      <c r="O96" s="12" t="s">
        <v>609</v>
      </c>
      <c r="P96" s="12" t="s">
        <v>672</v>
      </c>
    </row>
    <row r="97" customFormat="false" ht="15" hidden="false" customHeight="true" outlineLevel="0" collapsed="false">
      <c r="A97" s="12" t="s">
        <v>673</v>
      </c>
      <c r="B97" s="12" t="s">
        <v>674</v>
      </c>
      <c r="C97" s="12" t="s">
        <v>58</v>
      </c>
      <c r="D97" s="12" t="s">
        <v>59</v>
      </c>
      <c r="E97" s="12" t="s">
        <v>675</v>
      </c>
      <c r="F97" s="12" t="s">
        <v>46</v>
      </c>
      <c r="G97" s="13" t="s">
        <v>47</v>
      </c>
      <c r="H97" s="12" t="s">
        <v>607</v>
      </c>
      <c r="I97" s="13" t="s">
        <v>49</v>
      </c>
      <c r="J97" s="12" t="s">
        <v>58</v>
      </c>
      <c r="K97" s="13" t="s">
        <v>676</v>
      </c>
      <c r="L97" s="13" t="s">
        <v>64</v>
      </c>
      <c r="M97" s="12" t="s">
        <v>65</v>
      </c>
      <c r="N97" s="12" t="s">
        <v>66</v>
      </c>
      <c r="O97" s="12" t="s">
        <v>609</v>
      </c>
      <c r="P97" s="12" t="s">
        <v>677</v>
      </c>
    </row>
    <row r="98" customFormat="false" ht="15" hidden="false" customHeight="true" outlineLevel="0" collapsed="false">
      <c r="A98" s="12" t="s">
        <v>678</v>
      </c>
      <c r="B98" s="12" t="s">
        <v>679</v>
      </c>
      <c r="C98" s="12" t="s">
        <v>58</v>
      </c>
      <c r="D98" s="12" t="s">
        <v>59</v>
      </c>
      <c r="E98" s="12" t="s">
        <v>680</v>
      </c>
      <c r="F98" s="12" t="s">
        <v>46</v>
      </c>
      <c r="G98" s="13" t="s">
        <v>47</v>
      </c>
      <c r="H98" s="12" t="s">
        <v>607</v>
      </c>
      <c r="I98" s="13" t="s">
        <v>89</v>
      </c>
      <c r="J98" s="12" t="s">
        <v>58</v>
      </c>
      <c r="K98" s="13" t="s">
        <v>681</v>
      </c>
      <c r="L98" s="13" t="s">
        <v>64</v>
      </c>
      <c r="M98" s="12" t="s">
        <v>65</v>
      </c>
      <c r="N98" s="12" t="s">
        <v>66</v>
      </c>
      <c r="O98" s="12" t="s">
        <v>609</v>
      </c>
      <c r="P98" s="12" t="s">
        <v>682</v>
      </c>
    </row>
    <row r="99" customFormat="false" ht="15" hidden="false" customHeight="true" outlineLevel="0" collapsed="false">
      <c r="A99" s="12" t="s">
        <v>683</v>
      </c>
      <c r="B99" s="12" t="s">
        <v>684</v>
      </c>
      <c r="C99" s="12" t="s">
        <v>58</v>
      </c>
      <c r="D99" s="12" t="s">
        <v>59</v>
      </c>
      <c r="E99" s="12" t="s">
        <v>685</v>
      </c>
      <c r="F99" s="12" t="s">
        <v>46</v>
      </c>
      <c r="G99" s="13" t="s">
        <v>47</v>
      </c>
      <c r="H99" s="12" t="s">
        <v>607</v>
      </c>
      <c r="I99" s="13" t="s">
        <v>49</v>
      </c>
      <c r="J99" s="12" t="s">
        <v>58</v>
      </c>
      <c r="K99" s="13" t="s">
        <v>666</v>
      </c>
      <c r="L99" s="13" t="s">
        <v>64</v>
      </c>
      <c r="M99" s="12" t="s">
        <v>65</v>
      </c>
      <c r="N99" s="12" t="s">
        <v>66</v>
      </c>
      <c r="O99" s="12" t="s">
        <v>609</v>
      </c>
      <c r="P99" s="12" t="s">
        <v>686</v>
      </c>
    </row>
    <row r="100" customFormat="false" ht="15" hidden="false" customHeight="true" outlineLevel="0" collapsed="false">
      <c r="A100" s="12" t="s">
        <v>687</v>
      </c>
      <c r="B100" s="12" t="s">
        <v>688</v>
      </c>
      <c r="C100" s="12" t="s">
        <v>58</v>
      </c>
      <c r="D100" s="12" t="s">
        <v>59</v>
      </c>
      <c r="E100" s="12" t="s">
        <v>689</v>
      </c>
      <c r="F100" s="12" t="s">
        <v>46</v>
      </c>
      <c r="G100" s="13" t="s">
        <v>47</v>
      </c>
      <c r="H100" s="12" t="s">
        <v>607</v>
      </c>
      <c r="I100" s="13" t="s">
        <v>49</v>
      </c>
      <c r="J100" s="12" t="s">
        <v>58</v>
      </c>
      <c r="K100" s="13" t="s">
        <v>661</v>
      </c>
      <c r="L100" s="13" t="s">
        <v>64</v>
      </c>
      <c r="M100" s="12" t="s">
        <v>65</v>
      </c>
      <c r="N100" s="12" t="s">
        <v>66</v>
      </c>
      <c r="O100" s="12" t="s">
        <v>609</v>
      </c>
      <c r="P100" s="12" t="s">
        <v>690</v>
      </c>
    </row>
    <row r="101" customFormat="false" ht="15" hidden="false" customHeight="true" outlineLevel="0" collapsed="false">
      <c r="A101" s="12" t="s">
        <v>691</v>
      </c>
      <c r="B101" s="12" t="s">
        <v>692</v>
      </c>
      <c r="C101" s="12" t="s">
        <v>58</v>
      </c>
      <c r="D101" s="12" t="s">
        <v>59</v>
      </c>
      <c r="E101" s="12" t="s">
        <v>693</v>
      </c>
      <c r="F101" s="12" t="s">
        <v>46</v>
      </c>
      <c r="G101" s="13" t="s">
        <v>47</v>
      </c>
      <c r="H101" s="12" t="s">
        <v>607</v>
      </c>
      <c r="I101" s="13" t="s">
        <v>49</v>
      </c>
      <c r="J101" s="12" t="s">
        <v>58</v>
      </c>
      <c r="K101" s="13" t="s">
        <v>694</v>
      </c>
      <c r="L101" s="13" t="s">
        <v>64</v>
      </c>
      <c r="M101" s="12" t="s">
        <v>65</v>
      </c>
      <c r="N101" s="12" t="s">
        <v>66</v>
      </c>
      <c r="O101" s="12" t="s">
        <v>609</v>
      </c>
      <c r="P101" s="12" t="s">
        <v>695</v>
      </c>
    </row>
    <row r="102" customFormat="false" ht="15" hidden="false" customHeight="true" outlineLevel="0" collapsed="false">
      <c r="A102" s="12" t="s">
        <v>696</v>
      </c>
      <c r="B102" s="12" t="s">
        <v>697</v>
      </c>
      <c r="C102" s="12" t="s">
        <v>58</v>
      </c>
      <c r="D102" s="12" t="s">
        <v>59</v>
      </c>
      <c r="E102" s="12" t="s">
        <v>698</v>
      </c>
      <c r="F102" s="12" t="s">
        <v>46</v>
      </c>
      <c r="G102" s="13" t="s">
        <v>47</v>
      </c>
      <c r="H102" s="12" t="s">
        <v>607</v>
      </c>
      <c r="I102" s="13" t="s">
        <v>49</v>
      </c>
      <c r="J102" s="12" t="s">
        <v>58</v>
      </c>
      <c r="K102" s="13" t="s">
        <v>666</v>
      </c>
      <c r="L102" s="13" t="s">
        <v>64</v>
      </c>
      <c r="M102" s="12" t="s">
        <v>65</v>
      </c>
      <c r="N102" s="12" t="s">
        <v>66</v>
      </c>
      <c r="O102" s="12" t="s">
        <v>609</v>
      </c>
      <c r="P102" s="12" t="s">
        <v>699</v>
      </c>
    </row>
    <row r="103" customFormat="false" ht="15" hidden="false" customHeight="true" outlineLevel="0" collapsed="false">
      <c r="A103" s="12" t="s">
        <v>700</v>
      </c>
      <c r="B103" s="12" t="s">
        <v>701</v>
      </c>
      <c r="C103" s="12" t="s">
        <v>58</v>
      </c>
      <c r="D103" s="12" t="s">
        <v>59</v>
      </c>
      <c r="E103" s="12" t="s">
        <v>702</v>
      </c>
      <c r="F103" s="12" t="s">
        <v>46</v>
      </c>
      <c r="G103" s="13" t="s">
        <v>47</v>
      </c>
      <c r="H103" s="12" t="s">
        <v>607</v>
      </c>
      <c r="I103" s="13" t="s">
        <v>49</v>
      </c>
      <c r="J103" s="12" t="s">
        <v>58</v>
      </c>
      <c r="K103" s="13" t="s">
        <v>703</v>
      </c>
      <c r="L103" s="13" t="s">
        <v>64</v>
      </c>
      <c r="M103" s="12" t="s">
        <v>65</v>
      </c>
      <c r="N103" s="12" t="s">
        <v>66</v>
      </c>
      <c r="O103" s="12" t="s">
        <v>609</v>
      </c>
      <c r="P103" s="12" t="s">
        <v>704</v>
      </c>
    </row>
    <row r="104" customFormat="false" ht="15" hidden="false" customHeight="true" outlineLevel="0" collapsed="false">
      <c r="A104" s="12" t="s">
        <v>705</v>
      </c>
      <c r="B104" s="12" t="s">
        <v>706</v>
      </c>
      <c r="C104" s="12" t="s">
        <v>58</v>
      </c>
      <c r="D104" s="12" t="s">
        <v>59</v>
      </c>
      <c r="E104" s="12" t="s">
        <v>707</v>
      </c>
      <c r="F104" s="12" t="s">
        <v>46</v>
      </c>
      <c r="G104" s="13" t="s">
        <v>47</v>
      </c>
      <c r="H104" s="12" t="s">
        <v>607</v>
      </c>
      <c r="I104" s="13" t="s">
        <v>49</v>
      </c>
      <c r="J104" s="12" t="s">
        <v>58</v>
      </c>
      <c r="K104" s="13" t="s">
        <v>708</v>
      </c>
      <c r="L104" s="13" t="s">
        <v>64</v>
      </c>
      <c r="M104" s="12" t="s">
        <v>65</v>
      </c>
      <c r="N104" s="12" t="s">
        <v>66</v>
      </c>
      <c r="O104" s="12" t="s">
        <v>609</v>
      </c>
      <c r="P104" s="12" t="s">
        <v>709</v>
      </c>
    </row>
    <row r="105" customFormat="false" ht="15" hidden="false" customHeight="true" outlineLevel="0" collapsed="false">
      <c r="A105" s="12" t="s">
        <v>710</v>
      </c>
      <c r="B105" s="12" t="s">
        <v>711</v>
      </c>
      <c r="C105" s="12" t="s">
        <v>58</v>
      </c>
      <c r="D105" s="12" t="s">
        <v>59</v>
      </c>
      <c r="E105" s="12" t="s">
        <v>712</v>
      </c>
      <c r="F105" s="12" t="s">
        <v>46</v>
      </c>
      <c r="G105" s="13" t="s">
        <v>47</v>
      </c>
      <c r="H105" s="12" t="s">
        <v>607</v>
      </c>
      <c r="I105" s="13" t="s">
        <v>49</v>
      </c>
      <c r="J105" s="12" t="s">
        <v>58</v>
      </c>
      <c r="K105" s="13" t="s">
        <v>708</v>
      </c>
      <c r="L105" s="13" t="s">
        <v>64</v>
      </c>
      <c r="M105" s="12" t="s">
        <v>65</v>
      </c>
      <c r="N105" s="12" t="s">
        <v>66</v>
      </c>
      <c r="O105" s="12" t="s">
        <v>609</v>
      </c>
      <c r="P105" s="12" t="s">
        <v>713</v>
      </c>
    </row>
    <row r="106" customFormat="false" ht="15" hidden="false" customHeight="true" outlineLevel="0" collapsed="false">
      <c r="A106" s="12" t="s">
        <v>714</v>
      </c>
      <c r="B106" s="12" t="s">
        <v>715</v>
      </c>
      <c r="C106" s="12" t="s">
        <v>58</v>
      </c>
      <c r="D106" s="12" t="s">
        <v>59</v>
      </c>
      <c r="E106" s="12" t="s">
        <v>716</v>
      </c>
      <c r="F106" s="12" t="s">
        <v>46</v>
      </c>
      <c r="G106" s="13" t="s">
        <v>47</v>
      </c>
      <c r="H106" s="12" t="s">
        <v>607</v>
      </c>
      <c r="I106" s="13" t="s">
        <v>49</v>
      </c>
      <c r="J106" s="12" t="s">
        <v>58</v>
      </c>
      <c r="K106" s="13" t="s">
        <v>717</v>
      </c>
      <c r="L106" s="13" t="s">
        <v>64</v>
      </c>
      <c r="M106" s="12" t="s">
        <v>65</v>
      </c>
      <c r="N106" s="12" t="s">
        <v>66</v>
      </c>
      <c r="O106" s="12" t="s">
        <v>609</v>
      </c>
      <c r="P106" s="12" t="s">
        <v>718</v>
      </c>
    </row>
    <row r="107" customFormat="false" ht="15" hidden="false" customHeight="true" outlineLevel="0" collapsed="false">
      <c r="A107" s="12" t="s">
        <v>719</v>
      </c>
      <c r="B107" s="12" t="s">
        <v>720</v>
      </c>
      <c r="C107" s="12" t="s">
        <v>58</v>
      </c>
      <c r="D107" s="12" t="s">
        <v>59</v>
      </c>
      <c r="E107" s="12" t="s">
        <v>721</v>
      </c>
      <c r="F107" s="12" t="s">
        <v>46</v>
      </c>
      <c r="G107" s="13" t="s">
        <v>47</v>
      </c>
      <c r="H107" s="12" t="s">
        <v>607</v>
      </c>
      <c r="I107" s="13" t="s">
        <v>89</v>
      </c>
      <c r="J107" s="12" t="s">
        <v>58</v>
      </c>
      <c r="K107" s="13" t="s">
        <v>666</v>
      </c>
      <c r="L107" s="13" t="s">
        <v>64</v>
      </c>
      <c r="M107" s="12" t="s">
        <v>65</v>
      </c>
      <c r="N107" s="12" t="s">
        <v>66</v>
      </c>
      <c r="O107" s="12" t="s">
        <v>609</v>
      </c>
      <c r="P107" s="12" t="s">
        <v>722</v>
      </c>
    </row>
    <row r="108" customFormat="false" ht="15" hidden="false" customHeight="true" outlineLevel="0" collapsed="false">
      <c r="A108" s="12" t="s">
        <v>723</v>
      </c>
      <c r="B108" s="12" t="s">
        <v>724</v>
      </c>
      <c r="C108" s="12" t="s">
        <v>58</v>
      </c>
      <c r="D108" s="12" t="s">
        <v>59</v>
      </c>
      <c r="E108" s="12" t="s">
        <v>725</v>
      </c>
      <c r="F108" s="12" t="s">
        <v>46</v>
      </c>
      <c r="G108" s="13" t="s">
        <v>47</v>
      </c>
      <c r="H108" s="12" t="s">
        <v>607</v>
      </c>
      <c r="I108" s="13" t="s">
        <v>49</v>
      </c>
      <c r="J108" s="12" t="s">
        <v>58</v>
      </c>
      <c r="K108" s="13" t="s">
        <v>726</v>
      </c>
      <c r="L108" s="13" t="s">
        <v>64</v>
      </c>
      <c r="M108" s="12" t="s">
        <v>65</v>
      </c>
      <c r="N108" s="12" t="s">
        <v>66</v>
      </c>
      <c r="O108" s="12" t="s">
        <v>609</v>
      </c>
      <c r="P108" s="12" t="s">
        <v>727</v>
      </c>
    </row>
    <row r="109" customFormat="false" ht="15" hidden="false" customHeight="true" outlineLevel="0" collapsed="false">
      <c r="A109" s="12" t="s">
        <v>728</v>
      </c>
      <c r="B109" s="12" t="s">
        <v>729</v>
      </c>
      <c r="C109" s="12" t="s">
        <v>58</v>
      </c>
      <c r="D109" s="12" t="s">
        <v>59</v>
      </c>
      <c r="E109" s="12" t="s">
        <v>730</v>
      </c>
      <c r="F109" s="12" t="s">
        <v>46</v>
      </c>
      <c r="G109" s="13" t="s">
        <v>47</v>
      </c>
      <c r="H109" s="12" t="s">
        <v>607</v>
      </c>
      <c r="I109" s="13" t="s">
        <v>49</v>
      </c>
      <c r="J109" s="12" t="s">
        <v>58</v>
      </c>
      <c r="K109" s="13" t="s">
        <v>708</v>
      </c>
      <c r="L109" s="13" t="s">
        <v>64</v>
      </c>
      <c r="M109" s="12" t="s">
        <v>65</v>
      </c>
      <c r="N109" s="12" t="s">
        <v>66</v>
      </c>
      <c r="O109" s="12" t="s">
        <v>609</v>
      </c>
      <c r="P109" s="12" t="s">
        <v>731</v>
      </c>
    </row>
    <row r="110" customFormat="false" ht="15" hidden="false" customHeight="true" outlineLevel="0" collapsed="false">
      <c r="A110" s="12"/>
      <c r="B110" s="12"/>
      <c r="C110" s="12"/>
      <c r="D110" s="12"/>
      <c r="E110" s="12"/>
      <c r="F110" s="12"/>
      <c r="G110" s="13"/>
      <c r="H110" s="12"/>
      <c r="I110" s="13"/>
      <c r="J110" s="12"/>
      <c r="K110" s="13"/>
      <c r="L110" s="13"/>
      <c r="M110" s="12"/>
      <c r="N110" s="12"/>
      <c r="O110" s="12"/>
      <c r="P110" s="12"/>
    </row>
  </sheetData>
  <dataValidations count="6">
    <dataValidation allowBlank="true" error="Elijan una opción de la lista" errorStyle="stop" operator="between" showDropDown="false" showErrorMessage="false" showInputMessage="false" sqref="D5:D110" type="list">
      <formula1>"Entidad pública,Academia u ONG,Plataforma colaborativa,Empresa privada,Medio de comunicación,No se sabe"</formula1>
      <formula2>0</formula2>
    </dataValidation>
    <dataValidation allowBlank="true" error="Elijan una opción de la lista" errorStyle="stop" operator="between" showDropDown="false" showErrorMessage="false" showInputMessage="false" sqref="F5:F110" type="list">
      <formula1>"CSV,JSON,XLSX,Parquet,GeoJSON,Shapefile,PDF,Página web,Otro"</formula1>
      <formula2>0</formula2>
    </dataValidation>
    <dataValidation allowBlank="true" error="Elijan una opción de la lista" errorStyle="stop" operator="between" showDropDown="false" showErrorMessage="false" showInputMessage="false" sqref="G5:G110" type="list">
      <formula1>"API sin llave,API con llave gratuita,Descarga directa,Solo PDF o página,Bloquea scripts o pide sesión"</formula1>
      <formula2>0</formula2>
    </dataValidation>
    <dataValidation allowBlank="true" error="Elijan una opción de la lista" errorStyle="stop" operator="between" showDropDown="false" showErrorMessage="false" showInputMessage="false" sqref="I5:I110" type="list">
      <formula1>"No,Solo conteos por zona,Personas identificables,Texto libre sin revisar"</formula1>
      <formula2>0</formula2>
    </dataValidation>
    <dataValidation allowBlank="true" error="Elijan una opción de la lista" errorStyle="stop" operator="between" showDropDown="false" showErrorMessage="false" showInputMessage="false" sqref="L5:L110" type="list">
      <formula1>"Tiempo real,Diaria,Mensual,Trimestral,Anual,Única vez,No se sabe"</formula1>
      <formula2>0</formula2>
    </dataValidation>
    <dataValidation allowBlank="true" error="Elijan una opción de la lista" errorStyle="stop" operator="between" showDropDown="false" showErrorMessage="false" showInputMessage="false" sqref="N5:N110" type="list">
      <formula1>"Integrada al lago,Candidata,No responde,No existe (la inventó la IA),Descartada"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859375" defaultRowHeight="15" zeroHeight="false" outlineLevelRow="0" outlineLevelCol="0"/>
  <cols>
    <col collapsed="false" customWidth="true" hidden="false" outlineLevel="0" max="1" min="1" style="1" width="9"/>
    <col collapsed="false" customWidth="true" hidden="false" outlineLevel="0" max="2" min="2" style="1" width="20"/>
    <col collapsed="false" customWidth="true" hidden="false" outlineLevel="0" max="3" min="3" style="1" width="22"/>
    <col collapsed="false" customWidth="true" hidden="false" outlineLevel="0" max="4" min="4" style="1" width="20"/>
    <col collapsed="false" customWidth="true" hidden="false" outlineLevel="0" max="5" min="5" style="1" width="36"/>
    <col collapsed="false" customWidth="true" hidden="false" outlineLevel="0" max="6" min="6" style="1" width="12"/>
    <col collapsed="false" customWidth="true" hidden="false" outlineLevel="0" max="7" min="7" style="1" width="16"/>
    <col collapsed="false" customWidth="true" hidden="false" outlineLevel="0" max="8" min="8" style="1" width="14"/>
    <col collapsed="false" customWidth="true" hidden="false" outlineLevel="0" max="9" min="9" style="1" width="11"/>
    <col collapsed="false" customWidth="true" hidden="false" outlineLevel="0" max="10" min="10" style="1" width="22"/>
    <col collapsed="false" customWidth="true" hidden="false" outlineLevel="0" max="11" min="11" style="1" width="16"/>
    <col collapsed="false" customWidth="true" hidden="false" outlineLevel="0" max="12" min="12" style="1" width="28"/>
    <col collapsed="false" customWidth="true" hidden="false" outlineLevel="0" max="13" min="13" style="1" width="32"/>
  </cols>
  <sheetData>
    <row r="1" customFormat="false" ht="18" hidden="false" customHeight="true" outlineLevel="0" collapsed="false">
      <c r="A1" s="8" t="s">
        <v>732</v>
      </c>
    </row>
    <row r="2" customFormat="false" ht="15" hidden="false" customHeight="true" outlineLevel="0" collapsed="false">
      <c r="A2" s="9" t="s">
        <v>733</v>
      </c>
    </row>
    <row r="3" customFormat="false" ht="42" hidden="false" customHeight="true" outlineLevel="0" collapsed="false">
      <c r="A3" s="10" t="s">
        <v>25</v>
      </c>
      <c r="B3" s="10" t="s">
        <v>734</v>
      </c>
      <c r="C3" s="10" t="s">
        <v>735</v>
      </c>
      <c r="D3" s="10" t="s">
        <v>736</v>
      </c>
      <c r="E3" s="10" t="s">
        <v>737</v>
      </c>
      <c r="F3" s="10" t="s">
        <v>738</v>
      </c>
      <c r="G3" s="10" t="s">
        <v>739</v>
      </c>
      <c r="H3" s="10" t="s">
        <v>740</v>
      </c>
      <c r="I3" s="10" t="s">
        <v>741</v>
      </c>
      <c r="J3" s="10" t="s">
        <v>742</v>
      </c>
      <c r="K3" s="10" t="s">
        <v>743</v>
      </c>
      <c r="L3" s="10" t="s">
        <v>744</v>
      </c>
      <c r="M3" s="10" t="s">
        <v>745</v>
      </c>
    </row>
    <row r="4" customFormat="false" ht="36" hidden="false" customHeight="true" outlineLevel="0" collapsed="false">
      <c r="A4" s="11" t="s">
        <v>41</v>
      </c>
      <c r="B4" s="11" t="s">
        <v>746</v>
      </c>
      <c r="C4" s="11" t="s">
        <v>747</v>
      </c>
      <c r="D4" s="11" t="s">
        <v>748</v>
      </c>
      <c r="E4" s="11" t="s">
        <v>749</v>
      </c>
      <c r="F4" s="11" t="s">
        <v>750</v>
      </c>
      <c r="G4" s="11" t="s">
        <v>751</v>
      </c>
      <c r="H4" s="11" t="s">
        <v>752</v>
      </c>
      <c r="I4" s="11" t="s">
        <v>49</v>
      </c>
      <c r="J4" s="11" t="s">
        <v>753</v>
      </c>
      <c r="K4" s="11" t="s">
        <v>754</v>
      </c>
      <c r="L4" s="11" t="s">
        <v>755</v>
      </c>
      <c r="M4" s="11" t="s">
        <v>756</v>
      </c>
    </row>
    <row r="5" customFormat="false" ht="15" hidden="false" customHeight="true" outlineLevel="0" collapsed="false">
      <c r="A5" s="12"/>
      <c r="B5" s="12"/>
      <c r="C5" s="12"/>
      <c r="D5" s="12"/>
      <c r="E5" s="12"/>
      <c r="F5" s="12"/>
      <c r="G5" s="12"/>
      <c r="H5" s="12"/>
      <c r="I5" s="12"/>
      <c r="J5" s="12"/>
      <c r="K5" s="12"/>
      <c r="L5" s="12"/>
      <c r="M5" s="12"/>
    </row>
    <row r="6" customFormat="false" ht="15" hidden="false" customHeight="true" outlineLevel="0" collapsed="false">
      <c r="A6" s="12"/>
      <c r="B6" s="12"/>
      <c r="C6" s="12"/>
      <c r="D6" s="12"/>
      <c r="E6" s="12"/>
      <c r="F6" s="12"/>
      <c r="G6" s="12"/>
      <c r="H6" s="12"/>
      <c r="I6" s="12"/>
      <c r="J6" s="12"/>
      <c r="K6" s="12"/>
      <c r="L6" s="12"/>
      <c r="M6" s="12"/>
    </row>
    <row r="7" customFormat="false" ht="15" hidden="false" customHeight="true" outlineLevel="0" collapsed="false">
      <c r="A7" s="12"/>
      <c r="B7" s="12"/>
      <c r="C7" s="12"/>
      <c r="D7" s="12"/>
      <c r="E7" s="12"/>
      <c r="F7" s="12"/>
      <c r="G7" s="12"/>
      <c r="H7" s="12"/>
      <c r="I7" s="12"/>
      <c r="J7" s="12"/>
      <c r="K7" s="12"/>
      <c r="L7" s="12"/>
      <c r="M7" s="12"/>
    </row>
    <row r="8" customFormat="false" ht="15" hidden="false" customHeight="true" outlineLevel="0" collapsed="false">
      <c r="A8" s="12"/>
      <c r="B8" s="12"/>
      <c r="C8" s="12"/>
      <c r="D8" s="12"/>
      <c r="E8" s="12"/>
      <c r="F8" s="12"/>
      <c r="G8" s="12"/>
      <c r="H8" s="12"/>
      <c r="I8" s="12"/>
      <c r="J8" s="12"/>
      <c r="K8" s="12"/>
      <c r="L8" s="12"/>
      <c r="M8" s="12"/>
    </row>
    <row r="9" customFormat="false" ht="15" hidden="false" customHeight="true" outlineLevel="0" collapsed="false">
      <c r="A9" s="12"/>
      <c r="B9" s="12"/>
      <c r="C9" s="12"/>
      <c r="D9" s="12"/>
      <c r="E9" s="12"/>
      <c r="F9" s="12"/>
      <c r="G9" s="12"/>
      <c r="H9" s="12"/>
      <c r="I9" s="12"/>
      <c r="J9" s="12"/>
      <c r="K9" s="12"/>
      <c r="L9" s="12"/>
      <c r="M9" s="12"/>
    </row>
    <row r="10" customFormat="false" ht="15" hidden="false" customHeight="true" outlineLevel="0" collapsed="false">
      <c r="A10" s="12"/>
      <c r="B10" s="12"/>
      <c r="C10" s="12"/>
      <c r="D10" s="12"/>
      <c r="E10" s="12"/>
      <c r="F10" s="12"/>
      <c r="G10" s="12"/>
      <c r="H10" s="12"/>
      <c r="I10" s="12"/>
      <c r="J10" s="12"/>
      <c r="K10" s="12"/>
      <c r="L10" s="12"/>
      <c r="M10" s="12"/>
    </row>
    <row r="11" customFormat="false" ht="15" hidden="false" customHeight="true" outlineLevel="0" collapsed="false">
      <c r="A11" s="12"/>
      <c r="B11" s="12"/>
      <c r="C11" s="12"/>
      <c r="D11" s="12"/>
      <c r="E11" s="12"/>
      <c r="F11" s="12"/>
      <c r="G11" s="12"/>
      <c r="H11" s="12"/>
      <c r="I11" s="12"/>
      <c r="J11" s="12"/>
      <c r="K11" s="12"/>
      <c r="L11" s="12"/>
      <c r="M11" s="12"/>
    </row>
    <row r="12" customFormat="false" ht="15" hidden="false" customHeight="true" outlineLevel="0" collapsed="false">
      <c r="A12" s="12"/>
      <c r="B12" s="12"/>
      <c r="C12" s="12"/>
      <c r="D12" s="12"/>
      <c r="E12" s="12"/>
      <c r="F12" s="12"/>
      <c r="G12" s="12"/>
      <c r="H12" s="12"/>
      <c r="I12" s="12"/>
      <c r="J12" s="12"/>
      <c r="K12" s="12"/>
      <c r="L12" s="12"/>
      <c r="M12" s="12"/>
    </row>
    <row r="13" customFormat="false" ht="15" hidden="false" customHeight="true" outlineLevel="0" collapsed="false">
      <c r="A13" s="12"/>
      <c r="B13" s="12"/>
      <c r="C13" s="12"/>
      <c r="D13" s="12"/>
      <c r="E13" s="12"/>
      <c r="F13" s="12"/>
      <c r="G13" s="12"/>
      <c r="H13" s="12"/>
      <c r="I13" s="12"/>
      <c r="J13" s="12"/>
      <c r="K13" s="12"/>
      <c r="L13" s="12"/>
      <c r="M13" s="12"/>
    </row>
    <row r="14" customFormat="false" ht="15" hidden="false" customHeight="true" outlineLevel="0" collapsed="false">
      <c r="A14" s="12"/>
      <c r="B14" s="12"/>
      <c r="C14" s="12"/>
      <c r="D14" s="12"/>
      <c r="E14" s="12"/>
      <c r="F14" s="12"/>
      <c r="G14" s="12"/>
      <c r="H14" s="12"/>
      <c r="I14" s="12"/>
      <c r="J14" s="12"/>
      <c r="K14" s="12"/>
      <c r="L14" s="12"/>
      <c r="M14" s="12"/>
    </row>
    <row r="15" customFormat="false" ht="15" hidden="false" customHeight="true" outlineLevel="0" collapsed="false">
      <c r="A15" s="12"/>
      <c r="B15" s="12"/>
      <c r="C15" s="12"/>
      <c r="D15" s="12"/>
      <c r="E15" s="12"/>
      <c r="F15" s="12"/>
      <c r="G15" s="12"/>
      <c r="H15" s="12"/>
      <c r="I15" s="12"/>
      <c r="J15" s="12"/>
      <c r="K15" s="12"/>
      <c r="L15" s="12"/>
      <c r="M15" s="12"/>
    </row>
    <row r="16" customFormat="false" ht="15" hidden="false" customHeight="true" outlineLevel="0" collapsed="false">
      <c r="A16" s="12"/>
      <c r="B16" s="12"/>
      <c r="C16" s="12"/>
      <c r="D16" s="12"/>
      <c r="E16" s="12"/>
      <c r="F16" s="12"/>
      <c r="G16" s="12"/>
      <c r="H16" s="12"/>
      <c r="I16" s="12"/>
      <c r="J16" s="12"/>
      <c r="K16" s="12"/>
      <c r="L16" s="12"/>
      <c r="M16" s="12"/>
    </row>
    <row r="17" customFormat="false" ht="15" hidden="false" customHeight="true" outlineLevel="0" collapsed="false">
      <c r="A17" s="12"/>
      <c r="B17" s="12"/>
      <c r="C17" s="12"/>
      <c r="D17" s="12"/>
      <c r="E17" s="12"/>
      <c r="F17" s="12"/>
      <c r="G17" s="12"/>
      <c r="H17" s="12"/>
      <c r="I17" s="12"/>
      <c r="J17" s="12"/>
      <c r="K17" s="12"/>
      <c r="L17" s="12"/>
      <c r="M17" s="12"/>
    </row>
    <row r="18" customFormat="false" ht="15" hidden="false" customHeight="true" outlineLevel="0" collapsed="false">
      <c r="A18" s="12"/>
      <c r="B18" s="12"/>
      <c r="C18" s="12"/>
      <c r="D18" s="12"/>
      <c r="E18" s="12"/>
      <c r="F18" s="12"/>
      <c r="G18" s="12"/>
      <c r="H18" s="12"/>
      <c r="I18" s="12"/>
      <c r="J18" s="12"/>
      <c r="K18" s="12"/>
      <c r="L18" s="12"/>
      <c r="M18" s="12"/>
    </row>
    <row r="19" customFormat="false" ht="15" hidden="false" customHeight="true" outlineLevel="0" collapsed="false">
      <c r="A19" s="12"/>
      <c r="B19" s="12"/>
      <c r="C19" s="12"/>
      <c r="D19" s="12"/>
      <c r="E19" s="12"/>
      <c r="F19" s="12"/>
      <c r="G19" s="12"/>
      <c r="H19" s="12"/>
      <c r="I19" s="12"/>
      <c r="J19" s="12"/>
      <c r="K19" s="12"/>
      <c r="L19" s="12"/>
      <c r="M19" s="12"/>
    </row>
    <row r="20" customFormat="false" ht="15" hidden="false" customHeight="true" outlineLevel="0" collapsed="false">
      <c r="A20" s="12"/>
      <c r="B20" s="12"/>
      <c r="C20" s="12"/>
      <c r="D20" s="12"/>
      <c r="E20" s="12"/>
      <c r="F20" s="12"/>
      <c r="G20" s="12"/>
      <c r="H20" s="12"/>
      <c r="I20" s="12"/>
      <c r="J20" s="12"/>
      <c r="K20" s="12"/>
      <c r="L20" s="12"/>
      <c r="M20" s="12"/>
    </row>
    <row r="21" customFormat="false" ht="15" hidden="false" customHeight="true" outlineLevel="0" collapsed="false">
      <c r="A21" s="12"/>
      <c r="B21" s="12"/>
      <c r="C21" s="12"/>
      <c r="D21" s="12"/>
      <c r="E21" s="12"/>
      <c r="F21" s="12"/>
      <c r="G21" s="12"/>
      <c r="H21" s="12"/>
      <c r="I21" s="12"/>
      <c r="J21" s="12"/>
      <c r="K21" s="12"/>
      <c r="L21" s="12"/>
      <c r="M21" s="12"/>
    </row>
    <row r="22" customFormat="false" ht="15" hidden="false" customHeight="true" outlineLevel="0" collapsed="false">
      <c r="A22" s="12"/>
      <c r="B22" s="12"/>
      <c r="C22" s="12"/>
      <c r="D22" s="12"/>
      <c r="E22" s="12"/>
      <c r="F22" s="12"/>
      <c r="G22" s="12"/>
      <c r="H22" s="12"/>
      <c r="I22" s="12"/>
      <c r="J22" s="12"/>
      <c r="K22" s="12"/>
      <c r="L22" s="12"/>
      <c r="M22" s="12"/>
    </row>
    <row r="23" customFormat="false" ht="15" hidden="false" customHeight="true" outlineLevel="0" collapsed="false">
      <c r="A23" s="12"/>
      <c r="B23" s="12"/>
      <c r="C23" s="12"/>
      <c r="D23" s="12"/>
      <c r="E23" s="12"/>
      <c r="F23" s="12"/>
      <c r="G23" s="12"/>
      <c r="H23" s="12"/>
      <c r="I23" s="12"/>
      <c r="J23" s="12"/>
      <c r="K23" s="12"/>
      <c r="L23" s="12"/>
      <c r="M23" s="12"/>
    </row>
    <row r="24" customFormat="false" ht="15" hidden="false" customHeight="true" outlineLevel="0" collapsed="false">
      <c r="A24" s="12"/>
      <c r="B24" s="12"/>
      <c r="C24" s="12"/>
      <c r="D24" s="12"/>
      <c r="E24" s="12"/>
      <c r="F24" s="12"/>
      <c r="G24" s="12"/>
      <c r="H24" s="12"/>
      <c r="I24" s="12"/>
      <c r="J24" s="12"/>
      <c r="K24" s="12"/>
      <c r="L24" s="12"/>
      <c r="M24" s="12"/>
    </row>
    <row r="25" customFormat="false" ht="15" hidden="false" customHeight="true" outlineLevel="0" collapsed="false">
      <c r="A25" s="12"/>
      <c r="B25" s="12"/>
      <c r="C25" s="12"/>
      <c r="D25" s="12"/>
      <c r="E25" s="12"/>
      <c r="F25" s="12"/>
      <c r="G25" s="12"/>
      <c r="H25" s="12"/>
      <c r="I25" s="12"/>
      <c r="J25" s="12"/>
      <c r="K25" s="12"/>
      <c r="L25" s="12"/>
      <c r="M25" s="12"/>
    </row>
    <row r="26" customFormat="false" ht="15" hidden="false" customHeight="true" outlineLevel="0" collapsed="false">
      <c r="A26" s="12"/>
      <c r="B26" s="12"/>
      <c r="C26" s="12"/>
      <c r="D26" s="12"/>
      <c r="E26" s="12"/>
      <c r="F26" s="12"/>
      <c r="G26" s="12"/>
      <c r="H26" s="12"/>
      <c r="I26" s="12"/>
      <c r="J26" s="12"/>
      <c r="K26" s="12"/>
      <c r="L26" s="12"/>
      <c r="M26" s="12"/>
    </row>
    <row r="27" customFormat="false" ht="15" hidden="false" customHeight="true" outlineLevel="0" collapsed="false">
      <c r="A27" s="12"/>
      <c r="B27" s="12"/>
      <c r="C27" s="12"/>
      <c r="D27" s="12"/>
      <c r="E27" s="12"/>
      <c r="F27" s="12"/>
      <c r="G27" s="12"/>
      <c r="H27" s="12"/>
      <c r="I27" s="12"/>
      <c r="J27" s="12"/>
      <c r="K27" s="12"/>
      <c r="L27" s="12"/>
      <c r="M27" s="12"/>
    </row>
    <row r="28" customFormat="false" ht="15" hidden="false" customHeight="true" outlineLevel="0" collapsed="false">
      <c r="A28" s="12"/>
      <c r="B28" s="12"/>
      <c r="C28" s="12"/>
      <c r="D28" s="12"/>
      <c r="E28" s="12"/>
      <c r="F28" s="12"/>
      <c r="G28" s="12"/>
      <c r="H28" s="12"/>
      <c r="I28" s="12"/>
      <c r="J28" s="12"/>
      <c r="K28" s="12"/>
      <c r="L28" s="12"/>
      <c r="M28" s="12"/>
    </row>
    <row r="29" customFormat="false" ht="15" hidden="false" customHeight="true" outlineLevel="0" collapsed="false">
      <c r="A29" s="12"/>
      <c r="B29" s="12"/>
      <c r="C29" s="12"/>
      <c r="D29" s="12"/>
      <c r="E29" s="12"/>
      <c r="F29" s="12"/>
      <c r="G29" s="12"/>
      <c r="H29" s="12"/>
      <c r="I29" s="12"/>
      <c r="J29" s="12"/>
      <c r="K29" s="12"/>
      <c r="L29" s="12"/>
      <c r="M29" s="12"/>
    </row>
    <row r="30" customFormat="false" ht="15" hidden="false" customHeight="true" outlineLevel="0" collapsed="false">
      <c r="A30" s="12"/>
      <c r="B30" s="12"/>
      <c r="C30" s="12"/>
      <c r="D30" s="12"/>
      <c r="E30" s="12"/>
      <c r="F30" s="12"/>
      <c r="G30" s="12"/>
      <c r="H30" s="12"/>
      <c r="I30" s="12"/>
      <c r="J30" s="12"/>
      <c r="K30" s="12"/>
      <c r="L30" s="12"/>
      <c r="M30" s="12"/>
    </row>
    <row r="31" customFormat="false" ht="15" hidden="false" customHeight="true" outlineLevel="0" collapsed="false">
      <c r="A31" s="12"/>
      <c r="B31" s="12"/>
      <c r="C31" s="12"/>
      <c r="D31" s="12"/>
      <c r="E31" s="12"/>
      <c r="F31" s="12"/>
      <c r="G31" s="12"/>
      <c r="H31" s="12"/>
      <c r="I31" s="12"/>
      <c r="J31" s="12"/>
      <c r="K31" s="12"/>
      <c r="L31" s="12"/>
      <c r="M31" s="12"/>
    </row>
    <row r="32" customFormat="false" ht="15" hidden="false" customHeight="true" outlineLevel="0" collapsed="false">
      <c r="A32" s="12"/>
      <c r="B32" s="12"/>
      <c r="C32" s="12"/>
      <c r="D32" s="12"/>
      <c r="E32" s="12"/>
      <c r="F32" s="12"/>
      <c r="G32" s="12"/>
      <c r="H32" s="12"/>
      <c r="I32" s="12"/>
      <c r="J32" s="12"/>
      <c r="K32" s="12"/>
      <c r="L32" s="12"/>
      <c r="M32" s="12"/>
    </row>
    <row r="33" customFormat="false" ht="15" hidden="false" customHeight="true" outlineLevel="0" collapsed="false">
      <c r="A33" s="12"/>
      <c r="B33" s="12"/>
      <c r="C33" s="12"/>
      <c r="D33" s="12"/>
      <c r="E33" s="12"/>
      <c r="F33" s="12"/>
      <c r="G33" s="12"/>
      <c r="H33" s="12"/>
      <c r="I33" s="12"/>
      <c r="J33" s="12"/>
      <c r="K33" s="12"/>
      <c r="L33" s="12"/>
      <c r="M33" s="12"/>
    </row>
    <row r="34" customFormat="false" ht="15" hidden="false" customHeight="true" outlineLevel="0" collapsed="false">
      <c r="A34" s="12"/>
      <c r="B34" s="12"/>
      <c r="C34" s="12"/>
      <c r="D34" s="12"/>
      <c r="E34" s="12"/>
      <c r="F34" s="12"/>
      <c r="G34" s="12"/>
      <c r="H34" s="12"/>
      <c r="I34" s="12"/>
      <c r="J34" s="12"/>
      <c r="K34" s="12"/>
      <c r="L34" s="12"/>
      <c r="M34" s="12"/>
    </row>
    <row r="35" customFormat="false" ht="15" hidden="false" customHeight="true" outlineLevel="0" collapsed="false">
      <c r="A35" s="12"/>
      <c r="B35" s="12"/>
      <c r="C35" s="12"/>
      <c r="D35" s="12"/>
      <c r="E35" s="12"/>
      <c r="F35" s="12"/>
      <c r="G35" s="12"/>
      <c r="H35" s="12"/>
      <c r="I35" s="12"/>
      <c r="J35" s="12"/>
      <c r="K35" s="12"/>
      <c r="L35" s="12"/>
      <c r="M35" s="12"/>
    </row>
    <row r="36" customFormat="false" ht="15" hidden="false" customHeight="true" outlineLevel="0" collapsed="false">
      <c r="A36" s="12"/>
      <c r="B36" s="12"/>
      <c r="C36" s="12"/>
      <c r="D36" s="12"/>
      <c r="E36" s="12"/>
      <c r="F36" s="12"/>
      <c r="G36" s="12"/>
      <c r="H36" s="12"/>
      <c r="I36" s="12"/>
      <c r="J36" s="12"/>
      <c r="K36" s="12"/>
      <c r="L36" s="12"/>
      <c r="M36" s="12"/>
    </row>
    <row r="37" customFormat="false" ht="15" hidden="false" customHeight="true" outlineLevel="0" collapsed="false">
      <c r="A37" s="12"/>
      <c r="B37" s="12"/>
      <c r="C37" s="12"/>
      <c r="D37" s="12"/>
      <c r="E37" s="12"/>
      <c r="F37" s="12"/>
      <c r="G37" s="12"/>
      <c r="H37" s="12"/>
      <c r="I37" s="12"/>
      <c r="J37" s="12"/>
      <c r="K37" s="12"/>
      <c r="L37" s="12"/>
      <c r="M37" s="12"/>
    </row>
    <row r="38" customFormat="false" ht="15" hidden="false" customHeight="true" outlineLevel="0" collapsed="false">
      <c r="A38" s="12"/>
      <c r="B38" s="12"/>
      <c r="C38" s="12"/>
      <c r="D38" s="12"/>
      <c r="E38" s="12"/>
      <c r="F38" s="12"/>
      <c r="G38" s="12"/>
      <c r="H38" s="12"/>
      <c r="I38" s="12"/>
      <c r="J38" s="12"/>
      <c r="K38" s="12"/>
      <c r="L38" s="12"/>
      <c r="M38" s="12"/>
    </row>
    <row r="39" customFormat="false" ht="15" hidden="false" customHeight="true" outlineLevel="0" collapsed="false">
      <c r="A39" s="12"/>
      <c r="B39" s="12"/>
      <c r="C39" s="12"/>
      <c r="D39" s="12"/>
      <c r="E39" s="12"/>
      <c r="F39" s="12"/>
      <c r="G39" s="12"/>
      <c r="H39" s="12"/>
      <c r="I39" s="12"/>
      <c r="J39" s="12"/>
      <c r="K39" s="12"/>
      <c r="L39" s="12"/>
      <c r="M39" s="12"/>
    </row>
    <row r="40" customFormat="false" ht="15" hidden="false" customHeight="true" outlineLevel="0" collapsed="false">
      <c r="A40" s="12"/>
      <c r="B40" s="12"/>
      <c r="C40" s="12"/>
      <c r="D40" s="12"/>
      <c r="E40" s="12"/>
      <c r="F40" s="12"/>
      <c r="G40" s="12"/>
      <c r="H40" s="12"/>
      <c r="I40" s="12"/>
      <c r="J40" s="12"/>
      <c r="K40" s="12"/>
      <c r="L40" s="12"/>
      <c r="M40" s="12"/>
    </row>
    <row r="41" customFormat="false" ht="15" hidden="false" customHeight="true" outlineLevel="0" collapsed="false">
      <c r="A41" s="12"/>
      <c r="B41" s="12"/>
      <c r="C41" s="12"/>
      <c r="D41" s="12"/>
      <c r="E41" s="12"/>
      <c r="F41" s="12"/>
      <c r="G41" s="12"/>
      <c r="H41" s="12"/>
      <c r="I41" s="12"/>
      <c r="J41" s="12"/>
      <c r="K41" s="12"/>
      <c r="L41" s="12"/>
      <c r="M41" s="12"/>
    </row>
    <row r="42" customFormat="false" ht="15" hidden="false" customHeight="true" outlineLevel="0" collapsed="false">
      <c r="A42" s="12"/>
      <c r="B42" s="12"/>
      <c r="C42" s="12"/>
      <c r="D42" s="12"/>
      <c r="E42" s="12"/>
      <c r="F42" s="12"/>
      <c r="G42" s="12"/>
      <c r="H42" s="12"/>
      <c r="I42" s="12"/>
      <c r="J42" s="12"/>
      <c r="K42" s="12"/>
      <c r="L42" s="12"/>
      <c r="M42" s="12"/>
    </row>
    <row r="43" customFormat="false" ht="15" hidden="false" customHeight="true" outlineLevel="0" collapsed="false">
      <c r="A43" s="12"/>
      <c r="B43" s="12"/>
      <c r="C43" s="12"/>
      <c r="D43" s="12"/>
      <c r="E43" s="12"/>
      <c r="F43" s="12"/>
      <c r="G43" s="12"/>
      <c r="H43" s="12"/>
      <c r="I43" s="12"/>
      <c r="J43" s="12"/>
      <c r="K43" s="12"/>
      <c r="L43" s="12"/>
      <c r="M43" s="12"/>
    </row>
    <row r="44" customFormat="false" ht="15" hidden="false" customHeight="true" outlineLevel="0" collapsed="false">
      <c r="A44" s="12"/>
      <c r="B44" s="12"/>
      <c r="C44" s="12"/>
      <c r="D44" s="12"/>
      <c r="E44" s="12"/>
      <c r="F44" s="12"/>
      <c r="G44" s="12"/>
      <c r="H44" s="12"/>
      <c r="I44" s="12"/>
      <c r="J44" s="12"/>
      <c r="K44" s="12"/>
      <c r="L44" s="12"/>
      <c r="M44" s="12"/>
    </row>
  </sheetData>
  <dataValidations count="3">
    <dataValidation allowBlank="true" error="Elijan una opción de la lista" errorStyle="stop" operator="between" showDropDown="false" showErrorMessage="false" showInputMessage="false" sqref="F5:F44" type="list">
      <formula1>"Texto,Entero,Decimal,Fecha,Booleano,Código,Coordenada / geometría"</formula1>
      <formula2>0</formula2>
    </dataValidation>
    <dataValidation allowBlank="true" error="Elijan una opción de la lista" errorStyle="stop" operator="between" showDropDown="false" showErrorMessage="false" showInputMessage="false" sqref="I5:I44" type="list">
      <formula1>"Sí,No"</formula1>
      <formula2>0</formula2>
    </dataValidation>
    <dataValidation allowBlank="true" error="Elijan una opción de la lista" errorStyle="stop" operator="between" showDropDown="false" showErrorMessage="false" showInputMessage="false" sqref="K5:K44" type="list">
      <formula1>"Pública,Interna,Sensible,Dato personal"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8593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4" min="3" style="1" width="36"/>
    <col collapsed="false" customWidth="true" hidden="false" outlineLevel="0" max="5" min="5" style="1" width="30"/>
    <col collapsed="false" customWidth="true" hidden="false" outlineLevel="0" max="6" min="6" style="1" width="16"/>
    <col collapsed="false" customWidth="true" hidden="false" outlineLevel="0" max="7" min="7" style="1" width="12"/>
    <col collapsed="false" customWidth="true" hidden="false" outlineLevel="0" max="8" min="8" style="1" width="30"/>
  </cols>
  <sheetData>
    <row r="1" customFormat="false" ht="18" hidden="false" customHeight="true" outlineLevel="0" collapsed="false">
      <c r="A1" s="8" t="s">
        <v>757</v>
      </c>
    </row>
    <row r="2" customFormat="false" ht="15" hidden="false" customHeight="true" outlineLevel="0" collapsed="false">
      <c r="A2" s="9" t="s">
        <v>758</v>
      </c>
    </row>
    <row r="3" customFormat="false" ht="42" hidden="false" customHeight="true" outlineLevel="0" collapsed="false">
      <c r="A3" s="10" t="s">
        <v>759</v>
      </c>
      <c r="B3" s="10" t="s">
        <v>760</v>
      </c>
      <c r="C3" s="10" t="s">
        <v>761</v>
      </c>
      <c r="D3" s="10" t="s">
        <v>762</v>
      </c>
      <c r="E3" s="10" t="s">
        <v>763</v>
      </c>
      <c r="F3" s="10" t="s">
        <v>764</v>
      </c>
      <c r="G3" s="10" t="s">
        <v>765</v>
      </c>
      <c r="H3" s="10" t="s">
        <v>766</v>
      </c>
    </row>
    <row r="4" customFormat="false" ht="48" hidden="false" customHeight="true" outlineLevel="0" collapsed="false">
      <c r="A4" s="11" t="s">
        <v>767</v>
      </c>
      <c r="B4" s="11" t="s">
        <v>768</v>
      </c>
      <c r="C4" s="11" t="s">
        <v>769</v>
      </c>
      <c r="D4" s="11" t="s">
        <v>770</v>
      </c>
      <c r="E4" s="11" t="s">
        <v>771</v>
      </c>
      <c r="F4" s="11" t="s">
        <v>772</v>
      </c>
      <c r="G4" s="11" t="s">
        <v>41</v>
      </c>
      <c r="H4" s="11" t="s">
        <v>773</v>
      </c>
    </row>
    <row r="5" customFormat="false" ht="102" hidden="false" customHeight="true" outlineLevel="0" collapsed="false">
      <c r="A5" s="12" t="n">
        <v>1</v>
      </c>
      <c r="B5" s="12" t="s">
        <v>768</v>
      </c>
      <c r="C5" s="12" t="s">
        <v>774</v>
      </c>
      <c r="D5" s="12" t="s">
        <v>775</v>
      </c>
      <c r="E5" s="12" t="s">
        <v>776</v>
      </c>
      <c r="F5" s="12" t="s">
        <v>772</v>
      </c>
      <c r="G5" s="12" t="s">
        <v>541</v>
      </c>
      <c r="H5" s="12" t="s">
        <v>777</v>
      </c>
    </row>
    <row r="6" customFormat="false" ht="15" hidden="false" customHeight="true" outlineLevel="0" collapsed="false">
      <c r="A6" s="12" t="n">
        <v>2</v>
      </c>
      <c r="B6" s="12" t="s">
        <v>768</v>
      </c>
      <c r="C6" s="12" t="s">
        <v>778</v>
      </c>
      <c r="D6" s="12" t="s">
        <v>779</v>
      </c>
      <c r="E6" s="12" t="s">
        <v>780</v>
      </c>
      <c r="F6" s="12" t="s">
        <v>781</v>
      </c>
      <c r="G6" s="12"/>
      <c r="H6" s="12" t="s">
        <v>782</v>
      </c>
    </row>
    <row r="7" customFormat="false" ht="15" hidden="false" customHeight="true" outlineLevel="0" collapsed="false">
      <c r="A7" s="12" t="n">
        <v>3</v>
      </c>
      <c r="B7" s="12" t="s">
        <v>768</v>
      </c>
      <c r="C7" s="12" t="s">
        <v>783</v>
      </c>
      <c r="D7" s="12" t="s">
        <v>784</v>
      </c>
      <c r="E7" s="12" t="s">
        <v>785</v>
      </c>
      <c r="F7" s="12" t="s">
        <v>772</v>
      </c>
      <c r="G7" s="12" t="s">
        <v>786</v>
      </c>
      <c r="H7" s="12" t="s">
        <v>787</v>
      </c>
    </row>
    <row r="8" customFormat="false" ht="15" hidden="false" customHeight="true" outlineLevel="0" collapsed="false">
      <c r="A8" s="12" t="n">
        <v>4</v>
      </c>
      <c r="B8" s="12" t="s">
        <v>768</v>
      </c>
      <c r="C8" s="12" t="s">
        <v>788</v>
      </c>
      <c r="D8" s="12" t="s">
        <v>789</v>
      </c>
      <c r="E8" s="12" t="s">
        <v>790</v>
      </c>
      <c r="F8" s="12" t="s">
        <v>772</v>
      </c>
      <c r="G8" s="12" t="s">
        <v>791</v>
      </c>
      <c r="H8" s="12" t="s">
        <v>792</v>
      </c>
    </row>
    <row r="9" customFormat="false" ht="15" hidden="false" customHeight="true" outlineLevel="0" collapsed="false">
      <c r="A9" s="12" t="n">
        <v>5</v>
      </c>
      <c r="B9" s="12" t="s">
        <v>768</v>
      </c>
      <c r="C9" s="12" t="s">
        <v>793</v>
      </c>
      <c r="D9" s="12" t="s">
        <v>794</v>
      </c>
      <c r="E9" s="12" t="s">
        <v>795</v>
      </c>
      <c r="F9" s="12" t="s">
        <v>772</v>
      </c>
      <c r="G9" s="12" t="s">
        <v>796</v>
      </c>
      <c r="H9" s="12" t="s">
        <v>797</v>
      </c>
    </row>
    <row r="10" customFormat="false" ht="15" hidden="false" customHeight="true" outlineLevel="0" collapsed="false">
      <c r="A10" s="12"/>
      <c r="B10" s="12"/>
      <c r="C10" s="12"/>
      <c r="D10" s="12"/>
      <c r="E10" s="12"/>
      <c r="F10" s="12"/>
      <c r="G10" s="12"/>
      <c r="H10" s="12"/>
    </row>
    <row r="11" customFormat="false" ht="15" hidden="false" customHeight="true" outlineLevel="0" collapsed="false">
      <c r="A11" s="12"/>
      <c r="B11" s="12"/>
      <c r="C11" s="12"/>
      <c r="D11" s="12"/>
      <c r="E11" s="12"/>
      <c r="F11" s="12"/>
      <c r="G11" s="12"/>
      <c r="H11" s="12"/>
    </row>
    <row r="12" customFormat="false" ht="15" hidden="false" customHeight="true" outlineLevel="0" collapsed="false">
      <c r="A12" s="12"/>
      <c r="B12" s="12"/>
      <c r="C12" s="12"/>
      <c r="D12" s="12"/>
      <c r="E12" s="12"/>
      <c r="F12" s="12"/>
      <c r="G12" s="12"/>
      <c r="H12" s="12"/>
    </row>
    <row r="13" customFormat="false" ht="15" hidden="false" customHeight="true" outlineLevel="0" collapsed="false">
      <c r="A13" s="12"/>
      <c r="B13" s="12"/>
      <c r="C13" s="12"/>
      <c r="D13" s="12"/>
      <c r="E13" s="12"/>
      <c r="F13" s="12"/>
      <c r="G13" s="12"/>
      <c r="H13" s="12"/>
    </row>
    <row r="14" customFormat="false" ht="15" hidden="false" customHeight="true" outlineLevel="0" collapsed="false">
      <c r="A14" s="12"/>
      <c r="B14" s="12"/>
      <c r="C14" s="12"/>
      <c r="D14" s="12"/>
      <c r="E14" s="12"/>
      <c r="F14" s="12"/>
      <c r="G14" s="12"/>
      <c r="H14" s="12"/>
    </row>
    <row r="15" customFormat="false" ht="15" hidden="false" customHeight="true" outlineLevel="0" collapsed="false">
      <c r="A15" s="12"/>
      <c r="B15" s="12"/>
      <c r="C15" s="12"/>
      <c r="D15" s="12"/>
      <c r="E15" s="12"/>
      <c r="F15" s="12"/>
      <c r="G15" s="12"/>
      <c r="H15" s="12"/>
    </row>
    <row r="16" customFormat="false" ht="15" hidden="false" customHeight="true" outlineLevel="0" collapsed="false">
      <c r="A16" s="12"/>
      <c r="B16" s="12"/>
      <c r="C16" s="12"/>
      <c r="D16" s="12"/>
      <c r="E16" s="12"/>
      <c r="F16" s="12"/>
      <c r="G16" s="12"/>
      <c r="H16" s="12"/>
    </row>
    <row r="17" customFormat="false" ht="15" hidden="false" customHeight="true" outlineLevel="0" collapsed="false">
      <c r="A17" s="12"/>
      <c r="B17" s="12"/>
      <c r="C17" s="12"/>
      <c r="D17" s="12"/>
      <c r="E17" s="12"/>
      <c r="F17" s="12"/>
      <c r="G17" s="12"/>
      <c r="H17" s="12"/>
    </row>
    <row r="18" customFormat="false" ht="15" hidden="false" customHeight="true" outlineLevel="0" collapsed="false">
      <c r="A18" s="12"/>
      <c r="B18" s="12"/>
      <c r="C18" s="12"/>
      <c r="D18" s="12"/>
      <c r="E18" s="12"/>
      <c r="F18" s="12"/>
      <c r="G18" s="12"/>
      <c r="H18" s="12"/>
    </row>
    <row r="19" customFormat="false" ht="15" hidden="false" customHeight="true" outlineLevel="0" collapsed="false">
      <c r="A19" s="12"/>
      <c r="B19" s="12"/>
      <c r="C19" s="12"/>
      <c r="D19" s="12"/>
      <c r="E19" s="12"/>
      <c r="F19" s="12"/>
      <c r="G19" s="12"/>
      <c r="H19" s="12"/>
    </row>
    <row r="20" customFormat="false" ht="15" hidden="false" customHeight="true" outlineLevel="0" collapsed="false">
      <c r="A20" s="12"/>
      <c r="B20" s="12"/>
      <c r="C20" s="12"/>
      <c r="D20" s="12"/>
      <c r="E20" s="12"/>
      <c r="F20" s="12"/>
      <c r="G20" s="12"/>
      <c r="H20" s="12"/>
    </row>
    <row r="21" customFormat="false" ht="15" hidden="false" customHeight="true" outlineLevel="0" collapsed="false">
      <c r="A21" s="12"/>
      <c r="B21" s="12"/>
      <c r="C21" s="12"/>
      <c r="D21" s="12"/>
      <c r="E21" s="12"/>
      <c r="F21" s="12"/>
      <c r="G21" s="12"/>
      <c r="H21" s="12"/>
    </row>
    <row r="22" customFormat="false" ht="15" hidden="false" customHeight="true" outlineLevel="0" collapsed="false">
      <c r="A22" s="12"/>
      <c r="B22" s="12"/>
      <c r="C22" s="12"/>
      <c r="D22" s="12"/>
      <c r="E22" s="12"/>
      <c r="F22" s="12"/>
      <c r="G22" s="12"/>
      <c r="H22" s="12"/>
    </row>
    <row r="23" customFormat="false" ht="15" hidden="false" customHeight="true" outlineLevel="0" collapsed="false">
      <c r="A23" s="12"/>
      <c r="B23" s="12"/>
      <c r="C23" s="12"/>
      <c r="D23" s="12"/>
      <c r="E23" s="12"/>
      <c r="F23" s="12"/>
      <c r="G23" s="12"/>
      <c r="H23" s="12"/>
    </row>
    <row r="24" customFormat="false" ht="15" hidden="false" customHeight="true" outlineLevel="0" collapsed="false">
      <c r="A24" s="12"/>
      <c r="B24" s="12"/>
      <c r="C24" s="12"/>
      <c r="D24" s="12"/>
      <c r="E24" s="12"/>
      <c r="F24" s="12"/>
      <c r="G24" s="12"/>
      <c r="H24" s="12"/>
    </row>
    <row r="25" customFormat="false" ht="15" hidden="false" customHeight="true" outlineLevel="0" collapsed="false">
      <c r="A25" s="12"/>
      <c r="B25" s="12"/>
      <c r="C25" s="12"/>
      <c r="D25" s="12"/>
      <c r="E25" s="12"/>
      <c r="F25" s="12"/>
      <c r="G25" s="12"/>
      <c r="H25" s="12"/>
    </row>
    <row r="26" customFormat="false" ht="15" hidden="false" customHeight="true" outlineLevel="0" collapsed="false">
      <c r="A26" s="12"/>
      <c r="B26" s="12"/>
      <c r="C26" s="12"/>
      <c r="D26" s="12"/>
      <c r="E26" s="12"/>
      <c r="F26" s="12"/>
      <c r="G26" s="12"/>
      <c r="H26" s="12"/>
    </row>
    <row r="27" customFormat="false" ht="15" hidden="false" customHeight="true" outlineLevel="0" collapsed="false">
      <c r="A27" s="12"/>
      <c r="B27" s="12"/>
      <c r="C27" s="12"/>
      <c r="D27" s="12"/>
      <c r="E27" s="12"/>
      <c r="F27" s="12"/>
      <c r="G27" s="12"/>
      <c r="H27" s="12"/>
    </row>
    <row r="28" customFormat="false" ht="15" hidden="false" customHeight="true" outlineLevel="0" collapsed="false">
      <c r="A28" s="12"/>
      <c r="B28" s="12"/>
      <c r="C28" s="12"/>
      <c r="D28" s="12"/>
      <c r="E28" s="12"/>
      <c r="F28" s="12"/>
      <c r="G28" s="12"/>
      <c r="H28" s="12"/>
    </row>
    <row r="29" customFormat="false" ht="15" hidden="false" customHeight="true" outlineLevel="0" collapsed="false">
      <c r="A29" s="12"/>
      <c r="B29" s="12"/>
      <c r="C29" s="12"/>
      <c r="D29" s="12"/>
      <c r="E29" s="12"/>
      <c r="F29" s="12"/>
      <c r="G29" s="12"/>
      <c r="H29" s="12"/>
    </row>
    <row r="30" customFormat="false" ht="15" hidden="false" customHeight="true" outlineLevel="0" collapsed="false">
      <c r="A30" s="12"/>
      <c r="B30" s="12"/>
      <c r="C30" s="12"/>
      <c r="D30" s="12"/>
      <c r="E30" s="12"/>
      <c r="F30" s="12"/>
      <c r="G30" s="12"/>
      <c r="H30" s="12"/>
    </row>
    <row r="31" customFormat="false" ht="15" hidden="false" customHeight="true" outlineLevel="0" collapsed="false">
      <c r="A31" s="12"/>
      <c r="B31" s="12"/>
      <c r="C31" s="12"/>
      <c r="D31" s="12"/>
      <c r="E31" s="12"/>
      <c r="F31" s="12"/>
      <c r="G31" s="12"/>
      <c r="H31" s="12"/>
    </row>
    <row r="32" customFormat="false" ht="15" hidden="false" customHeight="true" outlineLevel="0" collapsed="false">
      <c r="A32" s="12"/>
      <c r="B32" s="12"/>
      <c r="C32" s="12"/>
      <c r="D32" s="12"/>
      <c r="E32" s="12"/>
      <c r="F32" s="12"/>
      <c r="G32" s="12"/>
      <c r="H32" s="12"/>
    </row>
    <row r="33" customFormat="false" ht="15" hidden="false" customHeight="true" outlineLevel="0" collapsed="false">
      <c r="A33" s="12"/>
      <c r="B33" s="12"/>
      <c r="C33" s="12"/>
      <c r="D33" s="12"/>
      <c r="E33" s="12"/>
      <c r="F33" s="12"/>
      <c r="G33" s="12"/>
      <c r="H33" s="12"/>
    </row>
    <row r="34" customFormat="false" ht="15" hidden="false" customHeight="true" outlineLevel="0" collapsed="false">
      <c r="A34" s="12"/>
      <c r="B34" s="12"/>
      <c r="C34" s="12"/>
      <c r="D34" s="12"/>
      <c r="E34" s="12"/>
      <c r="F34" s="12"/>
      <c r="G34" s="12"/>
      <c r="H34" s="12"/>
    </row>
    <row r="35" customFormat="false" ht="15" hidden="false" customHeight="true" outlineLevel="0" collapsed="false">
      <c r="A35" s="12"/>
      <c r="B35" s="12"/>
      <c r="C35" s="12"/>
      <c r="D35" s="12"/>
      <c r="E35" s="12"/>
      <c r="F35" s="12"/>
      <c r="G35" s="12"/>
      <c r="H35" s="12"/>
    </row>
    <row r="36" customFormat="false" ht="15" hidden="false" customHeight="true" outlineLevel="0" collapsed="false">
      <c r="A36" s="12"/>
      <c r="B36" s="12"/>
      <c r="C36" s="12"/>
      <c r="D36" s="12"/>
      <c r="E36" s="12"/>
      <c r="F36" s="12"/>
      <c r="G36" s="12"/>
      <c r="H36" s="12"/>
    </row>
    <row r="37" customFormat="false" ht="15" hidden="false" customHeight="true" outlineLevel="0" collapsed="false">
      <c r="A37" s="12"/>
      <c r="B37" s="12"/>
      <c r="C37" s="12"/>
      <c r="D37" s="12"/>
      <c r="E37" s="12"/>
      <c r="F37" s="12"/>
      <c r="G37" s="12"/>
      <c r="H37" s="12"/>
    </row>
    <row r="38" customFormat="false" ht="15" hidden="false" customHeight="true" outlineLevel="0" collapsed="false">
      <c r="A38" s="12"/>
      <c r="B38" s="12"/>
      <c r="C38" s="12"/>
      <c r="D38" s="12"/>
      <c r="E38" s="12"/>
      <c r="F38" s="12"/>
      <c r="G38" s="12"/>
      <c r="H38" s="12"/>
    </row>
    <row r="39" customFormat="false" ht="15" hidden="false" customHeight="true" outlineLevel="0" collapsed="false">
      <c r="A39" s="12"/>
      <c r="B39" s="12"/>
      <c r="C39" s="12"/>
      <c r="D39" s="12"/>
      <c r="E39" s="12"/>
      <c r="F39" s="12"/>
      <c r="G39" s="12"/>
      <c r="H39" s="12"/>
    </row>
    <row r="40" customFormat="false" ht="15" hidden="false" customHeight="true" outlineLevel="0" collapsed="false">
      <c r="A40" s="12"/>
      <c r="B40" s="12"/>
      <c r="C40" s="12"/>
      <c r="D40" s="12"/>
      <c r="E40" s="12"/>
      <c r="F40" s="12"/>
      <c r="G40" s="12"/>
      <c r="H40" s="12"/>
    </row>
    <row r="41" customFormat="false" ht="15" hidden="false" customHeight="true" outlineLevel="0" collapsed="false">
      <c r="A41" s="12"/>
      <c r="B41" s="12"/>
      <c r="C41" s="12"/>
      <c r="D41" s="12"/>
      <c r="E41" s="12"/>
      <c r="F41" s="12"/>
      <c r="G41" s="12"/>
      <c r="H41" s="12"/>
    </row>
    <row r="42" customFormat="false" ht="15" hidden="false" customHeight="true" outlineLevel="0" collapsed="false">
      <c r="A42" s="12"/>
      <c r="B42" s="12"/>
      <c r="C42" s="12"/>
      <c r="D42" s="12"/>
      <c r="E42" s="12"/>
      <c r="F42" s="12"/>
      <c r="G42" s="12"/>
      <c r="H42" s="12"/>
    </row>
    <row r="43" customFormat="false" ht="15" hidden="false" customHeight="true" outlineLevel="0" collapsed="false">
      <c r="A43" s="12"/>
      <c r="B43" s="12"/>
      <c r="C43" s="12"/>
      <c r="D43" s="12"/>
      <c r="E43" s="12"/>
      <c r="F43" s="12"/>
      <c r="G43" s="12"/>
      <c r="H43" s="12"/>
    </row>
    <row r="44" customFormat="false" ht="15" hidden="false" customHeight="true" outlineLevel="0" collapsed="false">
      <c r="A44" s="12"/>
      <c r="B44" s="12"/>
      <c r="C44" s="12"/>
      <c r="D44" s="12"/>
      <c r="E44" s="12"/>
      <c r="F44" s="12"/>
      <c r="G44" s="12"/>
      <c r="H44" s="12"/>
    </row>
  </sheetData>
  <dataValidations count="1">
    <dataValidation allowBlank="true" error="Elijan una opción de la lista" errorStyle="stop" operator="between" showDropDown="false" showErrorMessage="false" showInputMessage="false" sqref="F5:F44" type="list">
      <formula1>"Correcto,Parcial,Incorrecto,Inventado"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48"/>
    <col collapsed="false" customWidth="true" hidden="false" outlineLevel="0" max="2" min="2" style="1" width="14"/>
  </cols>
  <sheetData>
    <row r="1" customFormat="false" ht="18" hidden="false" customHeight="true" outlineLevel="0" collapsed="false">
      <c r="A1" s="8" t="s">
        <v>798</v>
      </c>
    </row>
    <row r="2" customFormat="false" ht="15" hidden="false" customHeight="true" outlineLevel="0" collapsed="false">
      <c r="A2" s="9" t="s">
        <v>799</v>
      </c>
    </row>
    <row r="4" customFormat="false" ht="15" hidden="false" customHeight="true" outlineLevel="0" collapsed="false">
      <c r="A4" s="14" t="s">
        <v>800</v>
      </c>
      <c r="B4" s="15" t="n">
        <f aca="false">COUNTA('1. Fuentes'!A5:A110)</f>
        <v>105</v>
      </c>
    </row>
    <row r="5" customFormat="false" ht="15" hidden="false" customHeight="true" outlineLevel="0" collapsed="false">
      <c r="A5" s="16" t="s">
        <v>801</v>
      </c>
      <c r="B5" s="15" t="n">
        <f aca="false">COUNTIF('1. Fuentes'!N5:N110,"Integrada al lago")</f>
        <v>0</v>
      </c>
    </row>
    <row r="6" customFormat="false" ht="15" hidden="false" customHeight="true" outlineLevel="0" collapsed="false">
      <c r="A6" s="16" t="s">
        <v>802</v>
      </c>
      <c r="B6" s="15" t="n">
        <f aca="false">COUNTIF('1. Fuentes'!N5:N110,"Candidata")</f>
        <v>102</v>
      </c>
    </row>
    <row r="7" customFormat="false" ht="15" hidden="false" customHeight="true" outlineLevel="0" collapsed="false">
      <c r="A7" s="16" t="s">
        <v>803</v>
      </c>
      <c r="B7" s="15" t="n">
        <f aca="false">COUNTIF('1. Fuentes'!N5:N110,"No responde")</f>
        <v>3</v>
      </c>
    </row>
    <row r="8" customFormat="false" ht="15" hidden="false" customHeight="true" outlineLevel="0" collapsed="false">
      <c r="A8" s="16" t="s">
        <v>804</v>
      </c>
      <c r="B8" s="15" t="n">
        <f aca="false">COUNTIF('1. Fuentes'!N5:N110,"No existe (la inventó la IA)")</f>
        <v>0</v>
      </c>
    </row>
    <row r="9" customFormat="false" ht="15" hidden="false" customHeight="true" outlineLevel="0" collapsed="false">
      <c r="A9" s="16" t="s">
        <v>805</v>
      </c>
      <c r="B9" s="15" t="n">
        <f aca="false">COUNTIF('1. Fuentes'!N5:N110,"Descartada")</f>
        <v>0</v>
      </c>
    </row>
    <row r="10" customFormat="false" ht="15" hidden="false" customHeight="true" outlineLevel="0" collapsed="false">
      <c r="A10" s="14" t="s">
        <v>806</v>
      </c>
      <c r="B10" s="15" t="n">
        <f aca="false">COUNTIF('1. Fuentes'!H5:H110,"no declara")+COUNTIFS('1. Fuentes'!A5:A110,"&lt;&gt;",'1. Fuentes'!H5:H110,"")</f>
        <v>91</v>
      </c>
    </row>
    <row r="11" customFormat="false" ht="15" hidden="false" customHeight="true" outlineLevel="0" collapsed="false">
      <c r="A11" s="14" t="s">
        <v>807</v>
      </c>
      <c r="B11" s="15" t="n">
        <f aca="false">COUNTIF('1. Fuentes'!I5:I110,"Personas identificables")+COUNTIF('1. Fuentes'!I5:I110,"Texto libre sin revisar")</f>
        <v>38</v>
      </c>
    </row>
    <row r="12" customFormat="false" ht="15" hidden="false" customHeight="true" outlineLevel="0" collapsed="false">
      <c r="A12" s="14" t="s">
        <v>808</v>
      </c>
      <c r="B12" s="15" t="n">
        <f aca="false">COUNTA('2. Diccionario'!C5:C44)</f>
        <v>0</v>
      </c>
    </row>
    <row r="13" customFormat="false" ht="15" hidden="false" customHeight="true" outlineLevel="0" collapsed="false">
      <c r="A13" s="16" t="s">
        <v>809</v>
      </c>
      <c r="B13" s="15" t="n">
        <f aca="false">COUNTIF('2. Diccionario'!K5:K44,"Sensible")+COUNTIF('2. Diccionario'!K5:K44,"Dato personal")</f>
        <v>0</v>
      </c>
    </row>
    <row r="14" customFormat="false" ht="15" hidden="false" customHeight="true" outlineLevel="0" collapsed="false">
      <c r="A14" s="16" t="s">
        <v>810</v>
      </c>
      <c r="B14" s="15" t="n">
        <f aca="false">COUNTIFS('2. Diccionario'!C5:C44,"&lt;&gt;",'2. Diccionario'!M5:M44,"")</f>
        <v>0</v>
      </c>
    </row>
    <row r="15" customFormat="false" ht="15" hidden="false" customHeight="true" outlineLevel="0" collapsed="false">
      <c r="A15" s="14" t="s">
        <v>811</v>
      </c>
      <c r="B15" s="15" t="n">
        <f aca="false">COUNTA('3. Bitácora IA'!C5:C44)</f>
        <v>5</v>
      </c>
    </row>
    <row r="16" customFormat="false" ht="15" hidden="false" customHeight="true" outlineLevel="0" collapsed="false">
      <c r="A16" s="16" t="s">
        <v>812</v>
      </c>
      <c r="B16" s="15" t="n">
        <f aca="false">COUNTIF('3. Bitácora IA'!F5:F44,"Incorrecto")+COUNTIF('3. Bitácora IA'!F5:F44,"Inventado")</f>
        <v>0</v>
      </c>
    </row>
    <row r="17" customFormat="false" ht="15" hidden="false" customHeight="true" outlineLevel="0" collapsed="false">
      <c r="A17" s="14" t="s">
        <v>813</v>
      </c>
      <c r="B17" s="17" t="n">
        <f aca="false">IF(B15=0,"-",COUNTIF('3. Bitácora IA'!F5:F44,"Correcto")/B15)</f>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2026-09-28T11:22:59Z</dcterms:created>
  <dc:creator>openpyxl</dc:creator>
  <dc:description/>
  <dc:language>en-US</dc:language>
  <cp:lastModifiedBy>Nicolás Saldarriaga Valencia</cp:lastModifiedBy>
  <dcterms:modified xsi:type="dcterms:W3CDTF">2026-10-06T05:17:46Z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